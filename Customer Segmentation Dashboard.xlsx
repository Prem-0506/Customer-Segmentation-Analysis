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pivotCaches>
    <pivotCache cacheId="0" r:id="rId5"/>
  </pivotCaches>
</workbook>
</file>

<file path=xl/sharedStrings.xml><?xml version="1.0" encoding="utf-8"?>
<sst xmlns="http://schemas.openxmlformats.org/spreadsheetml/2006/main" count="808" uniqueCount="594">
  <si>
    <t>CustomerID</t>
  </si>
  <si>
    <t>Age</t>
  </si>
  <si>
    <t>AnnualIncome (k$)</t>
  </si>
  <si>
    <t>SpendingScore (1-100)</t>
  </si>
  <si>
    <t>City</t>
  </si>
  <si>
    <t>Gender</t>
  </si>
  <si>
    <t>AccountTenure (years)</t>
  </si>
  <si>
    <t>Cluster-1</t>
  </si>
  <si>
    <t>Cluster-2</t>
  </si>
  <si>
    <t>Cluster-3</t>
  </si>
  <si>
    <t>Customer</t>
  </si>
  <si>
    <t>New Jeffrey</t>
  </si>
  <si>
    <t>Male</t>
  </si>
  <si>
    <t>Robertfurt</t>
  </si>
  <si>
    <t>Female</t>
  </si>
  <si>
    <t>Lake Elaine</t>
  </si>
  <si>
    <t>Dixonfurt</t>
  </si>
  <si>
    <t>East Melaniefort</t>
  </si>
  <si>
    <t>Jamesstad</t>
  </si>
  <si>
    <t>Brendaburgh</t>
  </si>
  <si>
    <t>Michaelstad</t>
  </si>
  <si>
    <t>Masonbury</t>
  </si>
  <si>
    <t>New Pamelashire</t>
  </si>
  <si>
    <t>Port Melinda</t>
  </si>
  <si>
    <t>East Alfred</t>
  </si>
  <si>
    <t>Martinland</t>
  </si>
  <si>
    <t>North Dominicview</t>
  </si>
  <si>
    <t>New Rick</t>
  </si>
  <si>
    <t>Murphyfurt</t>
  </si>
  <si>
    <t>Ferrellhaven</t>
  </si>
  <si>
    <t>West Ashley</t>
  </si>
  <si>
    <t>East Jesseland</t>
  </si>
  <si>
    <t>South Bradview</t>
  </si>
  <si>
    <t>New Gregorychester</t>
  </si>
  <si>
    <t>North Andrewland</t>
  </si>
  <si>
    <t>Latashamouth</t>
  </si>
  <si>
    <t>North Sarahtown</t>
  </si>
  <si>
    <t>South Monica</t>
  </si>
  <si>
    <t>Jessicamouth</t>
  </si>
  <si>
    <t>North Lisa</t>
  </si>
  <si>
    <t>New Michaelfurt</t>
  </si>
  <si>
    <t>Chambersfort</t>
  </si>
  <si>
    <t>West Jesseland</t>
  </si>
  <si>
    <t>South Michael</t>
  </si>
  <si>
    <t>Beckmouth</t>
  </si>
  <si>
    <t>Johnsview</t>
  </si>
  <si>
    <t>New Paulside</t>
  </si>
  <si>
    <t>Maloneport</t>
  </si>
  <si>
    <t>Tylerberg</t>
  </si>
  <si>
    <t>Rojasfurt</t>
  </si>
  <si>
    <t>Harrisshire</t>
  </si>
  <si>
    <t>Ericside</t>
  </si>
  <si>
    <t>North Anneshire</t>
  </si>
  <si>
    <t>South Christinaville</t>
  </si>
  <si>
    <t>Lake Joan</t>
  </si>
  <si>
    <t>East Douglasshire</t>
  </si>
  <si>
    <t>East Jessica</t>
  </si>
  <si>
    <t>East Joshuamouth</t>
  </si>
  <si>
    <t>Davidfurt</t>
  </si>
  <si>
    <t>South Jamie</t>
  </si>
  <si>
    <t>Lake Brian</t>
  </si>
  <si>
    <t>North Jennifer</t>
  </si>
  <si>
    <t>Melanieland</t>
  </si>
  <si>
    <t>West Carla</t>
  </si>
  <si>
    <t>Leachborough</t>
  </si>
  <si>
    <t>Port Michael</t>
  </si>
  <si>
    <t>Lake Christinamouth</t>
  </si>
  <si>
    <t>Hartmanshire</t>
  </si>
  <si>
    <t>Kristimouth</t>
  </si>
  <si>
    <t>Rodriguezland</t>
  </si>
  <si>
    <t>Youngborough</t>
  </si>
  <si>
    <t>East Andrewside</t>
  </si>
  <si>
    <t>South Nicoleton</t>
  </si>
  <si>
    <t>Tinaview</t>
  </si>
  <si>
    <t>Salazarberg</t>
  </si>
  <si>
    <t>West Davidfurt</t>
  </si>
  <si>
    <t>Lake Rebecca</t>
  </si>
  <si>
    <t>Danielburgh</t>
  </si>
  <si>
    <t>Yvettestad</t>
  </si>
  <si>
    <t>New Allison</t>
  </si>
  <si>
    <t>Lake Hunterside</t>
  </si>
  <si>
    <t>Lake Emmaton</t>
  </si>
  <si>
    <t>New Marvin</t>
  </si>
  <si>
    <t>Lake Michaelburgh</t>
  </si>
  <si>
    <t>Marcusburgh</t>
  </si>
  <si>
    <t>North Cynthiastad</t>
  </si>
  <si>
    <t>Heathermouth</t>
  </si>
  <si>
    <t>Port Aaronmouth</t>
  </si>
  <si>
    <t>South Laura</t>
  </si>
  <si>
    <t>Collinsborough</t>
  </si>
  <si>
    <t>Morrowland</t>
  </si>
  <si>
    <t>Thomaschester</t>
  </si>
  <si>
    <t>Gloriaport</t>
  </si>
  <si>
    <t>Johnsonmouth</t>
  </si>
  <si>
    <t>Jaimemouth</t>
  </si>
  <si>
    <t>Michaelburgh</t>
  </si>
  <si>
    <t>North Colleen</t>
  </si>
  <si>
    <t>South Danielshire</t>
  </si>
  <si>
    <t>New Scott</t>
  </si>
  <si>
    <t>South Stephanieside</t>
  </si>
  <si>
    <t>Paigebury</t>
  </si>
  <si>
    <t>New Brandy</t>
  </si>
  <si>
    <t>West Elizabeth</t>
  </si>
  <si>
    <t>New James</t>
  </si>
  <si>
    <t>Brianhaven</t>
  </si>
  <si>
    <t>West Peggyborough</t>
  </si>
  <si>
    <t>Greenshire</t>
  </si>
  <si>
    <t>Jenkinshaven</t>
  </si>
  <si>
    <t>West Philiphaven</t>
  </si>
  <si>
    <t>Port William</t>
  </si>
  <si>
    <t>Cannontown</t>
  </si>
  <si>
    <t>Kathyberg</t>
  </si>
  <si>
    <t>West Andrewfort</t>
  </si>
  <si>
    <t>East Lisa</t>
  </si>
  <si>
    <t>Port Stephanieland</t>
  </si>
  <si>
    <t>Lake John</t>
  </si>
  <si>
    <t>Ballardfurt</t>
  </si>
  <si>
    <t>Jasonville</t>
  </si>
  <si>
    <t>Port Heatherchester</t>
  </si>
  <si>
    <t>South Johnathan</t>
  </si>
  <si>
    <t>New Veronicamouth</t>
  </si>
  <si>
    <t>Moorefurt</t>
  </si>
  <si>
    <t>Port Brenda</t>
  </si>
  <si>
    <t>North Bobby</t>
  </si>
  <si>
    <t>Lake Cory</t>
  </si>
  <si>
    <t>Petersonport</t>
  </si>
  <si>
    <t>Hawkinsbury</t>
  </si>
  <si>
    <t>Pinedaland</t>
  </si>
  <si>
    <t>Nathanstad</t>
  </si>
  <si>
    <t>South Margaretfort</t>
  </si>
  <si>
    <t>Kimberlytown</t>
  </si>
  <si>
    <t>Ericborough</t>
  </si>
  <si>
    <t>Port Josechester</t>
  </si>
  <si>
    <t>Rodriguezshire</t>
  </si>
  <si>
    <t>Elizabethland</t>
  </si>
  <si>
    <t>South Courtney</t>
  </si>
  <si>
    <t>New Jennifer</t>
  </si>
  <si>
    <t>Michaelland</t>
  </si>
  <si>
    <t>West Anthonyton</t>
  </si>
  <si>
    <t>Cheyennechester</t>
  </si>
  <si>
    <t>Lake Matthewstad</t>
  </si>
  <si>
    <t>West Ryan</t>
  </si>
  <si>
    <t>East Jacquelinetown</t>
  </si>
  <si>
    <t>Richardsonstad</t>
  </si>
  <si>
    <t>South Michaelmouth</t>
  </si>
  <si>
    <t>Yatesmouth</t>
  </si>
  <si>
    <t>Juanberg</t>
  </si>
  <si>
    <t>Bakerberg</t>
  </si>
  <si>
    <t>South Jasonbury</t>
  </si>
  <si>
    <t>Michealmouth</t>
  </si>
  <si>
    <t>Port David</t>
  </si>
  <si>
    <t>North Tracey</t>
  </si>
  <si>
    <t>South Margarettown</t>
  </si>
  <si>
    <t>New Joshuaville</t>
  </si>
  <si>
    <t>East Davidton</t>
  </si>
  <si>
    <t>New Brandon</t>
  </si>
  <si>
    <t>Port Amy</t>
  </si>
  <si>
    <t>Robertborough</t>
  </si>
  <si>
    <t>Taylorland</t>
  </si>
  <si>
    <t>Sawyertown</t>
  </si>
  <si>
    <t>New Timothyberg</t>
  </si>
  <si>
    <t>West Mallory</t>
  </si>
  <si>
    <t>North Timothy</t>
  </si>
  <si>
    <t>Lake Jerrytown</t>
  </si>
  <si>
    <t>East Dustin</t>
  </si>
  <si>
    <t>Lake Paul</t>
  </si>
  <si>
    <t>Smithmouth</t>
  </si>
  <si>
    <t>Craigfurt</t>
  </si>
  <si>
    <t>North Antonio</t>
  </si>
  <si>
    <t>North Hannah</t>
  </si>
  <si>
    <t>Lynnbury</t>
  </si>
  <si>
    <t>Paigeberg</t>
  </si>
  <si>
    <t>South Kelly</t>
  </si>
  <si>
    <t>West Joseph</t>
  </si>
  <si>
    <t>Barbarachester</t>
  </si>
  <si>
    <t>Tylerburgh</t>
  </si>
  <si>
    <t>North Danielview</t>
  </si>
  <si>
    <t>Wrightton</t>
  </si>
  <si>
    <t>Lake Ashlee</t>
  </si>
  <si>
    <t>Valdezside</t>
  </si>
  <si>
    <t>South Tomland</t>
  </si>
  <si>
    <t>Lake Marissaberg</t>
  </si>
  <si>
    <t>Monicaview</t>
  </si>
  <si>
    <t>Walshmouth</t>
  </si>
  <si>
    <t>Port Catherinemouth</t>
  </si>
  <si>
    <t>Buckborough</t>
  </si>
  <si>
    <t>East Andrea</t>
  </si>
  <si>
    <t>Jonesbury</t>
  </si>
  <si>
    <t>South Dan</t>
  </si>
  <si>
    <t>West James</t>
  </si>
  <si>
    <t>East Connieport</t>
  </si>
  <si>
    <t>Joseton</t>
  </si>
  <si>
    <t>Jacksonview</t>
  </si>
  <si>
    <t>Rebeccachester</t>
  </si>
  <si>
    <t>South Tony</t>
  </si>
  <si>
    <t>East Andrewchester</t>
  </si>
  <si>
    <t>Taylorburgh</t>
  </si>
  <si>
    <t>South Elizabeth</t>
  </si>
  <si>
    <t>Port Jennastad</t>
  </si>
  <si>
    <t>East Patriciachester</t>
  </si>
  <si>
    <t>Kennethshire</t>
  </si>
  <si>
    <t>South Anthony</t>
  </si>
  <si>
    <t>West Brian</t>
  </si>
  <si>
    <t>Ravenmouth</t>
  </si>
  <si>
    <t>Sandrachester</t>
  </si>
  <si>
    <t>New Stacey</t>
  </si>
  <si>
    <t>Randyshire</t>
  </si>
  <si>
    <t>East Christopherberg</t>
  </si>
  <si>
    <t>North Maureenton</t>
  </si>
  <si>
    <t>Cluster</t>
  </si>
  <si>
    <t>Income Center</t>
  </si>
  <si>
    <t>Spending Score</t>
  </si>
  <si>
    <t>AVERAGE of AnnualIncome (k$)</t>
  </si>
  <si>
    <t>AVERAGE of SpendingScore (1-100)</t>
  </si>
  <si>
    <t>46.75467891 Total</t>
  </si>
  <si>
    <t>5.10 Total</t>
  </si>
  <si>
    <t>45.79301257 Total</t>
  </si>
  <si>
    <t>6.08 Total</t>
  </si>
  <si>
    <t>55.22680509 Total</t>
  </si>
  <si>
    <t>7.07 Total</t>
  </si>
  <si>
    <t>42.72001873 Total</t>
  </si>
  <si>
    <t>8.06 Total</t>
  </si>
  <si>
    <t>58.13776741 Total</t>
  </si>
  <si>
    <t>8.94 Total</t>
  </si>
  <si>
    <t>56.82429058 Total</t>
  </si>
  <si>
    <t>10.44 Total</t>
  </si>
  <si>
    <t>61.29437168 Total</t>
  </si>
  <si>
    <t>11.70 Total</t>
  </si>
  <si>
    <t>60.03332408 Total</t>
  </si>
  <si>
    <t>12.00 Total</t>
  </si>
  <si>
    <t>61.05735009 Total</t>
  </si>
  <si>
    <t>12.17 Total</t>
  </si>
  <si>
    <t>49.81967483 Total</t>
  </si>
  <si>
    <t>12.73 Total</t>
  </si>
  <si>
    <t>60.10823571 Total</t>
  </si>
  <si>
    <t>13.15 Total</t>
  </si>
  <si>
    <t>54.23098745 Total</t>
  </si>
  <si>
    <t>13.45 Total</t>
  </si>
  <si>
    <t>51.623638 Total</t>
  </si>
  <si>
    <t>13.60 Total</t>
  </si>
  <si>
    <t>38.41874542 Total</t>
  </si>
  <si>
    <t>16.00 Total</t>
  </si>
  <si>
    <t>50.28916384 Total</t>
  </si>
  <si>
    <t>17.00 Total</t>
  </si>
  <si>
    <t>39.2173431 Total</t>
  </si>
  <si>
    <t>17.26 Total</t>
  </si>
  <si>
    <t>50 Total</t>
  </si>
  <si>
    <t>17.89 Total</t>
  </si>
  <si>
    <t>45.607017 Total</t>
  </si>
  <si>
    <t>18.44 Total</t>
  </si>
  <si>
    <t>69.52697318 Total</t>
  </si>
  <si>
    <t>19.85 Total</t>
  </si>
  <si>
    <t>64.66065264 Total</t>
  </si>
  <si>
    <t>20.02 Total</t>
  </si>
  <si>
    <t>49.24428901 Total</t>
  </si>
  <si>
    <t>20.62 Total</t>
  </si>
  <si>
    <t>28.8444102 Total</t>
  </si>
  <si>
    <t>21.26 Total</t>
  </si>
  <si>
    <t>55.94640292 Total</t>
  </si>
  <si>
    <t>23.02 Total</t>
  </si>
  <si>
    <t>32.984845 Total</t>
  </si>
  <si>
    <t>23.41 Total</t>
  </si>
  <si>
    <t>29.41088234 Total</t>
  </si>
  <si>
    <t>24.19 Total</t>
  </si>
  <si>
    <t>31.76476035 Total</t>
  </si>
  <si>
    <t>25.08 Total</t>
  </si>
  <si>
    <t>37.33630941 Total</t>
  </si>
  <si>
    <t>25.18 Total</t>
  </si>
  <si>
    <t>36.34556369 Total</t>
  </si>
  <si>
    <t>25.32 Total</t>
  </si>
  <si>
    <t>45.31004304 Total</t>
  </si>
  <si>
    <t>25.94 Total</t>
  </si>
  <si>
    <t>29.15475947 Total</t>
  </si>
  <si>
    <t>29.15 Total</t>
  </si>
  <si>
    <t>31 Total</t>
  </si>
  <si>
    <t>31.32 Total</t>
  </si>
  <si>
    <t>55.03635162 Total</t>
  </si>
  <si>
    <t>31.76 Total</t>
  </si>
  <si>
    <t>33.01514804 Total</t>
  </si>
  <si>
    <t>31.78 Total</t>
  </si>
  <si>
    <t>18.43908891 Total</t>
  </si>
  <si>
    <t>34.06 Total</t>
  </si>
  <si>
    <t>16.64331698 Total</t>
  </si>
  <si>
    <t>34.89 Total</t>
  </si>
  <si>
    <t>27.45906044 Total</t>
  </si>
  <si>
    <t>35.13 Total</t>
  </si>
  <si>
    <t>46.5295605 Total</t>
  </si>
  <si>
    <t>37.48 Total</t>
  </si>
  <si>
    <t>47.51841748 Total</t>
  </si>
  <si>
    <t>37.66 Total</t>
  </si>
  <si>
    <t>19.23538406 Total</t>
  </si>
  <si>
    <t>38.60 Total</t>
  </si>
  <si>
    <t>11.40175425 Total</t>
  </si>
  <si>
    <t>39.62 Total</t>
  </si>
  <si>
    <t>51.7880295 Total</t>
  </si>
  <si>
    <t>40.52 Total</t>
  </si>
  <si>
    <t>46.04345773 Total</t>
  </si>
  <si>
    <t>41.23 Total</t>
  </si>
  <si>
    <t>22.13594362 Total</t>
  </si>
  <si>
    <t>41.59 Total</t>
  </si>
  <si>
    <t>13.15294644 Total</t>
  </si>
  <si>
    <t>41.63 Total</t>
  </si>
  <si>
    <t>48.0416486 Total</t>
  </si>
  <si>
    <t>42.05 Total</t>
  </si>
  <si>
    <t>17.02938637 Total</t>
  </si>
  <si>
    <t>43.01 Total</t>
  </si>
  <si>
    <t>7 Total</t>
  </si>
  <si>
    <t>45.04442252 Total</t>
  </si>
  <si>
    <t>44.60 Total</t>
  </si>
  <si>
    <t>46.4865572 Total</t>
  </si>
  <si>
    <t>45.18 Total</t>
  </si>
  <si>
    <t>10.77032961 Total</t>
  </si>
  <si>
    <t>45.34 Total</t>
  </si>
  <si>
    <t>45.88027899 Total</t>
  </si>
  <si>
    <t>46.10 Total</t>
  </si>
  <si>
    <t>38.47076812 Total</t>
  </si>
  <si>
    <t>46.69 Total</t>
  </si>
  <si>
    <t>35.6931366 Total</t>
  </si>
  <si>
    <t>47.27 Total</t>
  </si>
  <si>
    <t>21.63330765 Total</t>
  </si>
  <si>
    <t>47.41 Total</t>
  </si>
  <si>
    <t>30.08321791 Total</t>
  </si>
  <si>
    <t>48.01 Total</t>
  </si>
  <si>
    <t>3.16227766 Total</t>
  </si>
  <si>
    <t>48.27 Total</t>
  </si>
  <si>
    <t>31.90611227 Total</t>
  </si>
  <si>
    <t>48.76 Total</t>
  </si>
  <si>
    <t>49.09 Total</t>
  </si>
  <si>
    <t>13.45362405 Total</t>
  </si>
  <si>
    <t>49.20 Total</t>
  </si>
  <si>
    <t>53.48831648 Total</t>
  </si>
  <si>
    <t>50.01 Total</t>
  </si>
  <si>
    <t>31.40063694 Total</t>
  </si>
  <si>
    <t>51.24 Total</t>
  </si>
  <si>
    <t>23.43074903 Total</t>
  </si>
  <si>
    <t>54.12 Total</t>
  </si>
  <si>
    <t>7.615773106 Total</t>
  </si>
  <si>
    <t>54.20 Total</t>
  </si>
  <si>
    <t>16.1245155 Total</t>
  </si>
  <si>
    <t>54.41 Total</t>
  </si>
  <si>
    <t>55.76 Total</t>
  </si>
  <si>
    <t>5.830951895 Total</t>
  </si>
  <si>
    <t>55.80 Total</t>
  </si>
  <si>
    <t>9.055385138 Total</t>
  </si>
  <si>
    <t>57.98 Total</t>
  </si>
  <si>
    <t>51.54609588 Total</t>
  </si>
  <si>
    <t>59.14 Total</t>
  </si>
  <si>
    <t>16.03121954 Total</t>
  </si>
  <si>
    <t>60.31 Total</t>
  </si>
  <si>
    <t>17.88854382 Total</t>
  </si>
  <si>
    <t>60.32 Total</t>
  </si>
  <si>
    <t>14.31782106 Total</t>
  </si>
  <si>
    <t>60.37 Total</t>
  </si>
  <si>
    <t>60.73 Total</t>
  </si>
  <si>
    <t>47.50789408 Total</t>
  </si>
  <si>
    <t>61.13 Total</t>
  </si>
  <si>
    <t>12.20655562 Total</t>
  </si>
  <si>
    <t>62.20 Total</t>
  </si>
  <si>
    <t>12.72792206 Total</t>
  </si>
  <si>
    <t>62.63 Total</t>
  </si>
  <si>
    <t>39.8246155 Total</t>
  </si>
  <si>
    <t>62.82 Total</t>
  </si>
  <si>
    <t>45.27692569 Total</t>
  </si>
  <si>
    <t>63.64 Total</t>
  </si>
  <si>
    <t>40.80441153 Total</t>
  </si>
  <si>
    <t>64.07 Total</t>
  </si>
  <si>
    <t>64.50 Total</t>
  </si>
  <si>
    <t>50.11985634 Total</t>
  </si>
  <si>
    <t>65.51 Total</t>
  </si>
  <si>
    <t>49.73932046 Total</t>
  </si>
  <si>
    <t>66.29 Total</t>
  </si>
  <si>
    <t>45 Total</t>
  </si>
  <si>
    <t>67.27 Total</t>
  </si>
  <si>
    <t>40.81666326 Total</t>
  </si>
  <si>
    <t>67.72 Total</t>
  </si>
  <si>
    <t>22.09072203 Total</t>
  </si>
  <si>
    <t>68.03 Total</t>
  </si>
  <si>
    <t>20.1246118 Total</t>
  </si>
  <si>
    <t>68.59 Total</t>
  </si>
  <si>
    <t>58.05170109 Total</t>
  </si>
  <si>
    <t>69.07 Total</t>
  </si>
  <si>
    <t>38.94868419 Total</t>
  </si>
  <si>
    <t>53.07541804 Total</t>
  </si>
  <si>
    <t>69.12 Total</t>
  </si>
  <si>
    <t>37.64306045 Total</t>
  </si>
  <si>
    <t>69.26 Total</t>
  </si>
  <si>
    <t>23.02172887 Total</t>
  </si>
  <si>
    <t>69.35 Total</t>
  </si>
  <si>
    <t>34.98571137 Total</t>
  </si>
  <si>
    <t>71.02 Total</t>
  </si>
  <si>
    <t>58.69412236 Total</t>
  </si>
  <si>
    <t>72.01 Total</t>
  </si>
  <si>
    <t>63.03173804 Total</t>
  </si>
  <si>
    <t>72.34 Total</t>
  </si>
  <si>
    <t>51.2249939 Total</t>
  </si>
  <si>
    <t>72.69 Total</t>
  </si>
  <si>
    <t>30.06659276 Total</t>
  </si>
  <si>
    <t>73.24 Total</t>
  </si>
  <si>
    <t>26.17250466 Total</t>
  </si>
  <si>
    <t>73.79 Total</t>
  </si>
  <si>
    <t>27.16615541 Total</t>
  </si>
  <si>
    <t>74.69 Total</t>
  </si>
  <si>
    <t>62.93647591 Total</t>
  </si>
  <si>
    <t>75.11 Total</t>
  </si>
  <si>
    <t>43.01162634 Total</t>
  </si>
  <si>
    <t>75.17 Total</t>
  </si>
  <si>
    <t>26.92582404 Total</t>
  </si>
  <si>
    <t>75.66 Total</t>
  </si>
  <si>
    <t>47.42362281 Total</t>
  </si>
  <si>
    <t>75.69 Total</t>
  </si>
  <si>
    <t>25.94224354 Total</t>
  </si>
  <si>
    <t>75.72 Total</t>
  </si>
  <si>
    <t>49.51767361 Total</t>
  </si>
  <si>
    <t>76.11 Total</t>
  </si>
  <si>
    <t>27.78488798 Total</t>
  </si>
  <si>
    <t>76.37 Total</t>
  </si>
  <si>
    <t>35.0142828 Total</t>
  </si>
  <si>
    <t>76.85 Total</t>
  </si>
  <si>
    <t>27.01851217 Total</t>
  </si>
  <si>
    <t>77.01 Total</t>
  </si>
  <si>
    <t>59.81638571 Total</t>
  </si>
  <si>
    <t>77.06 Total</t>
  </si>
  <si>
    <t>74.20242584 Total</t>
  </si>
  <si>
    <t>77.37 Total</t>
  </si>
  <si>
    <t>30.14962686 Total</t>
  </si>
  <si>
    <t>77.39 Total</t>
  </si>
  <si>
    <t>28.23118843 Total</t>
  </si>
  <si>
    <t>77.70 Total</t>
  </si>
  <si>
    <t>33.13608305 Total</t>
  </si>
  <si>
    <t>77.83 Total</t>
  </si>
  <si>
    <t>53.71219601 Total</t>
  </si>
  <si>
    <t>78.26 Total</t>
  </si>
  <si>
    <t>41.59326869 Total</t>
  </si>
  <si>
    <t>78.29 Total</t>
  </si>
  <si>
    <t>67.88225099 Total</t>
  </si>
  <si>
    <t>78.41 Total</t>
  </si>
  <si>
    <t>70.03570518 Total</t>
  </si>
  <si>
    <t>78.77 Total</t>
  </si>
  <si>
    <t>80.11 Total</t>
  </si>
  <si>
    <t>31.01612484 Total</t>
  </si>
  <si>
    <t>80.26 Total</t>
  </si>
  <si>
    <t>61.07372594 Total</t>
  </si>
  <si>
    <t>80.81 Total</t>
  </si>
  <si>
    <t>67.47592163 Total</t>
  </si>
  <si>
    <t>82.05 Total</t>
  </si>
  <si>
    <t>45.39823785 Total</t>
  </si>
  <si>
    <t>82.35 Total</t>
  </si>
  <si>
    <t>46.69047012 Total</t>
  </si>
  <si>
    <t>82.46 Total</t>
  </si>
  <si>
    <t>67.00746227 Total</t>
  </si>
  <si>
    <t>83.01 Total</t>
  </si>
  <si>
    <t>34.78505426 Total</t>
  </si>
  <si>
    <t>83.73 Total</t>
  </si>
  <si>
    <t>41.30375286 Total</t>
  </si>
  <si>
    <t>84.06 Total</t>
  </si>
  <si>
    <t>48.66210024 Total</t>
  </si>
  <si>
    <t>84.31 Total</t>
  </si>
  <si>
    <t>51.66236541 Total</t>
  </si>
  <si>
    <t>84.43 Total</t>
  </si>
  <si>
    <t>40.04996879 Total</t>
  </si>
  <si>
    <t>86.16 Total</t>
  </si>
  <si>
    <t>55.36244214 Total</t>
  </si>
  <si>
    <t>86.40 Total</t>
  </si>
  <si>
    <t>59.61543424 Total</t>
  </si>
  <si>
    <t>86.68 Total</t>
  </si>
  <si>
    <t>39.45883931 Total</t>
  </si>
  <si>
    <t>86.82 Total</t>
  </si>
  <si>
    <t>40.26164428 Total</t>
  </si>
  <si>
    <t>88.55 Total</t>
  </si>
  <si>
    <t>82.73451517 Total</t>
  </si>
  <si>
    <t>90.80 Total</t>
  </si>
  <si>
    <t>77.00649323 Total</t>
  </si>
  <si>
    <t>91.27 Total</t>
  </si>
  <si>
    <t>77.62087348 Total</t>
  </si>
  <si>
    <t>91.35 Total</t>
  </si>
  <si>
    <t>59.66573556 Total</t>
  </si>
  <si>
    <t>91.76 Total</t>
  </si>
  <si>
    <t>47.80167361 Total</t>
  </si>
  <si>
    <t>92.66 Total</t>
  </si>
  <si>
    <t>66.85057965 Total</t>
  </si>
  <si>
    <t>93.21 Total</t>
  </si>
  <si>
    <t>83.63013811 Total</t>
  </si>
  <si>
    <t>94.20 Total</t>
  </si>
  <si>
    <t>64.28841264 Total</t>
  </si>
  <si>
    <t>94.83 Total</t>
  </si>
  <si>
    <t>69.07966416 Total</t>
  </si>
  <si>
    <t>95.04 Total</t>
  </si>
  <si>
    <t>80.21221852 Total</t>
  </si>
  <si>
    <t>95.26 Total</t>
  </si>
  <si>
    <t>71.58910532 Total</t>
  </si>
  <si>
    <t>95.52 Total</t>
  </si>
  <si>
    <t>77.69813383 Total</t>
  </si>
  <si>
    <t>96.01 Total</t>
  </si>
  <si>
    <t>75.66372975 Total</t>
  </si>
  <si>
    <t>96.05 Total</t>
  </si>
  <si>
    <t>46.86149806 Total</t>
  </si>
  <si>
    <t>96.21 Total</t>
  </si>
  <si>
    <t>52.20153254 Total</t>
  </si>
  <si>
    <t>62.64982043 Total</t>
  </si>
  <si>
    <t>68.00735254 Total</t>
  </si>
  <si>
    <t>97.08 Total</t>
  </si>
  <si>
    <t>75.13321503 Total</t>
  </si>
  <si>
    <t>97.19 Total</t>
  </si>
  <si>
    <t>54.12947441 Total</t>
  </si>
  <si>
    <t>97.42 Total</t>
  </si>
  <si>
    <t>48.41487375 Total</t>
  </si>
  <si>
    <t>97.59 Total</t>
  </si>
  <si>
    <t>86.21484791 Total</t>
  </si>
  <si>
    <t>98.86 Total</t>
  </si>
  <si>
    <t>49.49747468 Total</t>
  </si>
  <si>
    <t>99.25 Total</t>
  </si>
  <si>
    <t>74.09453421 Total</t>
  </si>
  <si>
    <t>99.85 Total</t>
  </si>
  <si>
    <t>60.13318551 Total</t>
  </si>
  <si>
    <t>100.18 Total</t>
  </si>
  <si>
    <t>72.42237223 Total</t>
  </si>
  <si>
    <t>100.62 Total</t>
  </si>
  <si>
    <t>52.69724851 Total</t>
  </si>
  <si>
    <t>101.18 Total</t>
  </si>
  <si>
    <t>76.69419796 Total</t>
  </si>
  <si>
    <t>101.60 Total</t>
  </si>
  <si>
    <t>102.40 Total</t>
  </si>
  <si>
    <t>56.64803615 Total</t>
  </si>
  <si>
    <t>102.42 Total</t>
  </si>
  <si>
    <t>102.65 Total</t>
  </si>
  <si>
    <t>79.30952024 Total</t>
  </si>
  <si>
    <t>103.39 Total</t>
  </si>
  <si>
    <t>59.9082632 Total</t>
  </si>
  <si>
    <t>103.77 Total</t>
  </si>
  <si>
    <t>54.67174773 Total</t>
  </si>
  <si>
    <t>103.97 Total</t>
  </si>
  <si>
    <t>104.24 Total</t>
  </si>
  <si>
    <t>76.53757247 Total</t>
  </si>
  <si>
    <t>104.39 Total</t>
  </si>
  <si>
    <t>57.14017851 Total</t>
  </si>
  <si>
    <t>105.48 Total</t>
  </si>
  <si>
    <t>86.3539229 Total</t>
  </si>
  <si>
    <t>106.00 Total</t>
  </si>
  <si>
    <t>77.88452991 Total</t>
  </si>
  <si>
    <t>106.71 Total</t>
  </si>
  <si>
    <t>84.17244205 Total</t>
  </si>
  <si>
    <t>107.17 Total</t>
  </si>
  <si>
    <t>94.40338977 Total</t>
  </si>
  <si>
    <t>107.20 Total</t>
  </si>
  <si>
    <t>95.21029356 Total</t>
  </si>
  <si>
    <t>108.19 Total</t>
  </si>
  <si>
    <t>66.91038783 Total</t>
  </si>
  <si>
    <t>108.71 Total</t>
  </si>
  <si>
    <t>82.54089895 Total</t>
  </si>
  <si>
    <t>108.78 Total</t>
  </si>
  <si>
    <t>60 Total</t>
  </si>
  <si>
    <t>108.90 Total</t>
  </si>
  <si>
    <t>90.42676595 Total</t>
  </si>
  <si>
    <t>109.07 Total</t>
  </si>
  <si>
    <t>81.60882305 Total</t>
  </si>
  <si>
    <t>109.18 Total</t>
  </si>
  <si>
    <t>97.20082304 Total</t>
  </si>
  <si>
    <t>109.49 Total</t>
  </si>
  <si>
    <t>80.77747211 Total</t>
  </si>
  <si>
    <t>109.66 Total</t>
  </si>
  <si>
    <t>78.26237921 Total</t>
  </si>
  <si>
    <t>110.11 Total</t>
  </si>
  <si>
    <t>81.74350127 Total</t>
  </si>
  <si>
    <t>110.64 Total</t>
  </si>
  <si>
    <t>74.02702209 Total</t>
  </si>
  <si>
    <t>110.72 Total</t>
  </si>
  <si>
    <t>61.84658438 Total</t>
  </si>
  <si>
    <t>111.02 Total</t>
  </si>
  <si>
    <t>78.91767863 Total</t>
  </si>
  <si>
    <t>111.57 Total</t>
  </si>
  <si>
    <t>77.02596965 Total</t>
  </si>
  <si>
    <t>114.95 Total</t>
  </si>
  <si>
    <t>70.71067812 Total</t>
  </si>
  <si>
    <t>118.07 Total</t>
  </si>
  <si>
    <t>119.85 Total</t>
  </si>
  <si>
    <t>73.8241153 Total</t>
  </si>
  <si>
    <t>120.21 Total</t>
  </si>
  <si>
    <t>80.60397013 Total</t>
  </si>
  <si>
    <t>122.54 Total</t>
  </si>
  <si>
    <t>74.62573283 Total</t>
  </si>
  <si>
    <t>122.67 Total</t>
  </si>
  <si>
    <t>75.47184906 Total</t>
  </si>
  <si>
    <t>123.43 Total</t>
  </si>
  <si>
    <t>79.0569415 Total</t>
  </si>
  <si>
    <t>123.49 Total</t>
  </si>
  <si>
    <t>76.32168761 Total</t>
  </si>
  <si>
    <t>124.20 Total</t>
  </si>
  <si>
    <t>79.62411695 Total</t>
  </si>
  <si>
    <t>126.02 Total</t>
  </si>
  <si>
    <t>80.95677859 Total</t>
  </si>
  <si>
    <t>127.41 Total</t>
  </si>
  <si>
    <t>85.23496935 Total</t>
  </si>
  <si>
    <t>130.63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</si>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</sst>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/>
  </fonts>
  <fills count="2">
    <fill>
      <patternFill patternType="none"/>
    </fill>
    <fill>
      <patternFill patternType="lightGray"/>
    </fill>
  </fills>
  <borders count="16">
    <border/>
    <border>
      <left style="thin">
        <color rgb="FF2F5665"/>
      </left>
      <right style="thin">
        <color rgb="FF3F7386"/>
      </right>
      <top style="thin">
        <color rgb="FF2F5665"/>
      </top>
      <bottom style="thin">
        <color rgb="FF2F5665"/>
      </bottom>
    </border>
    <border>
      <left style="thin">
        <color rgb="FF3F7386"/>
      </left>
      <right style="thin">
        <color rgb="FF3F7386"/>
      </right>
      <top style="thin">
        <color rgb="FF2F5665"/>
      </top>
      <bottom style="thin">
        <color rgb="FF2F5665"/>
      </bottom>
    </border>
    <border>
      <left style="thin">
        <color rgb="FF3F7386"/>
      </left>
      <right style="thin">
        <color rgb="FF2F5665"/>
      </right>
      <top style="thin">
        <color rgb="FF2F5665"/>
      </top>
      <bottom style="thin">
        <color rgb="FF2F5665"/>
      </bottom>
    </border>
    <border>
      <left style="thin">
        <color rgb="FF2F56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F5665"/>
      </right>
      <top style="thin">
        <color rgb="FFFFFFFF"/>
      </top>
      <bottom style="thin">
        <color rgb="FFFFFFFF"/>
      </bottom>
    </border>
    <border>
      <left style="thin">
        <color rgb="FF2F5665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F5665"/>
      </right>
      <top style="thin">
        <color rgb="FFF6F8F9"/>
      </top>
      <bottom style="thin">
        <color rgb="FFF6F8F9"/>
      </bottom>
    </border>
    <border>
      <left style="thin">
        <color rgb="FF2F5665"/>
      </left>
      <right style="thin">
        <color rgb="FFF6F8F9"/>
      </right>
      <top style="thin">
        <color rgb="FFF6F8F9"/>
      </top>
      <bottom style="thin">
        <color rgb="FF2F5665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F5665"/>
      </bottom>
    </border>
    <border>
      <left style="thin">
        <color rgb="FFF6F8F9"/>
      </left>
      <right style="thin">
        <color rgb="FF2F5665"/>
      </right>
      <top style="thin">
        <color rgb="FFF6F8F9"/>
      </top>
      <bottom style="thin">
        <color rgb="FF2F566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4" xfId="0" applyAlignment="1" applyBorder="1" applyFont="1" applyNumberFormat="1">
      <alignment horizontal="center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2" numFmtId="4" xfId="0" applyAlignment="1" applyBorder="1" applyFont="1" applyNumberFormat="1">
      <alignment horizontal="center" shrinkToFit="0" vertical="center" wrapText="0"/>
    </xf>
    <xf borderId="8" fillId="0" fontId="2" numFmtId="0" xfId="0" applyAlignment="1" applyBorder="1" applyFont="1">
      <alignment horizontal="center" shrinkToFit="0" vertical="center" wrapText="0"/>
    </xf>
    <xf borderId="9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10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2" numFmtId="4" xfId="0" applyAlignment="1" applyBorder="1" applyFont="1" applyNumberFormat="1">
      <alignment horizontal="center" shrinkToFit="0" vertical="center" wrapText="0"/>
    </xf>
    <xf borderId="11" fillId="0" fontId="2" numFmtId="0" xfId="0" applyAlignment="1" applyBorder="1" applyFont="1">
      <alignment horizontal="center" shrinkToFit="0" vertical="center" wrapText="0"/>
    </xf>
    <xf borderId="12" fillId="0" fontId="2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/>
    </xf>
    <xf borderId="13" fillId="0" fontId="3" numFmtId="0" xfId="0" applyAlignment="1" applyBorder="1" applyFont="1">
      <alignment horizontal="center" readingOrder="0"/>
    </xf>
    <xf borderId="14" fillId="0" fontId="3" numFmtId="0" xfId="0" applyAlignment="1" applyBorder="1" applyFont="1">
      <alignment horizontal="center" readingOrder="0"/>
    </xf>
    <xf borderId="15" fillId="0" fontId="4" numFmtId="0" xfId="0" applyBorder="1" applyFont="1"/>
    <xf borderId="0" fillId="0" fontId="3" numFmtId="0" xfId="0" applyAlignment="1" applyFont="1">
      <alignment horizontal="center" readingOrder="0"/>
    </xf>
    <xf borderId="13" fillId="0" fontId="2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/>
    </xf>
    <xf borderId="0" fillId="0" fontId="2" numFmtId="0" xfId="0" applyFont="1"/>
    <xf borderId="0" fillId="0" fontId="2" numFmtId="4" xfId="0" applyFont="1" applyNumberForma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F7386"/>
          <bgColor rgb="FF3F73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Comic Sans MS"/>
              </a:defRPr>
            </a:pPr>
            <a:r>
              <a:rPr b="0">
                <a:solidFill>
                  <a:srgbClr val="757575"/>
                </a:solidFill>
                <a:latin typeface="Comic Sans MS"/>
              </a:rPr>
              <a:t>SpendingScore (1-100) vs AnnualIncome (k$)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</c:strRef>
          </c:tx>
          <c:spPr>
            <a:ln>
              <a:noFill/>
            </a:ln>
          </c:spPr>
          <c:marker>
            <c:symbol val="diamond"/>
            <c:size val="12"/>
            <c:spPr>
              <a:solidFill>
                <a:srgbClr val="45818E"/>
              </a:solidFill>
              <a:ln cmpd="sng">
                <a:solidFill>
                  <a:srgbClr val="45818E"/>
                </a:solidFill>
              </a:ln>
            </c:spPr>
          </c:marker>
          <c:xVal>
            <c:numRef>
              <c:f>Sheet1!$C$2:$C$15</c:f>
            </c:numRef>
          </c:xVal>
          <c:yVal>
            <c:numRef>
              <c:f>Sheet1!$D$2:$D$15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521442"/>
        <c:axId val="541807919"/>
      </c:scatterChart>
      <c:valAx>
        <c:axId val="1245214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 sz="1800">
                    <a:solidFill>
                      <a:srgbClr val="000000"/>
                    </a:solidFill>
                    <a:latin typeface="Comic Sans MS"/>
                  </a:rPr>
                  <a:t>AnnualIncome (k$)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 sz="1200">
                <a:solidFill>
                  <a:srgbClr val="000000"/>
                </a:solidFill>
                <a:latin typeface="Comic Sans MS"/>
              </a:defRPr>
            </a:pPr>
          </a:p>
        </c:txPr>
        <c:crossAx val="541807919"/>
      </c:valAx>
      <c:valAx>
        <c:axId val="5418079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 sz="1800">
                    <a:solidFill>
                      <a:srgbClr val="000000"/>
                    </a:solidFill>
                    <a:latin typeface="Comic Sans MS"/>
                  </a:rPr>
                  <a:t>SpendingScore (1-100)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 sz="1200">
                <a:solidFill>
                  <a:srgbClr val="000000"/>
                </a:solidFill>
                <a:latin typeface="Comic Sans MS"/>
              </a:defRPr>
            </a:pPr>
          </a:p>
        </c:txPr>
        <c:crossAx val="1245214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Comic Sans MS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571500</xdr:colOff>
      <xdr:row>4</xdr:row>
      <xdr:rowOff>276225</xdr:rowOff>
    </xdr:from>
    <xdr:ext cx="7553325" cy="51530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201" sheet="Sheet1"/>
  </cacheSource>
  <cacheFields>
    <cacheField name="CustomerID" numFmtId="0">
      <sharedItems containsSemiMixedTypes="0" containsString="0" containsNumber="1" containsInteger="1">
        <n v="7613.0"/>
        <n v="2256.0"/>
        <n v="9452.0"/>
        <n v="4189.0"/>
        <n v="4939.0"/>
        <n v="8353.0"/>
        <n v="2555.0"/>
        <n v="8915.0"/>
        <n v="6561.0"/>
        <n v="8563.0"/>
        <n v="7032.0"/>
        <n v="4572.0"/>
        <n v="5511.0"/>
        <n v="3639.0"/>
        <n v="3930.0"/>
        <n v="1480.0"/>
        <n v="4327.0"/>
        <n v="9882.0"/>
        <n v="6945.0"/>
        <n v="9207.0"/>
        <n v="9874.0"/>
        <n v="3198.0"/>
        <n v="6401.0"/>
        <n v="4072.0"/>
        <n v="9294.0"/>
        <n v="1536.0"/>
        <n v="1208.0"/>
        <n v="8698.0"/>
        <n v="1127.0"/>
        <n v="6679.0"/>
        <n v="8920.0"/>
        <n v="2865.0"/>
        <n v="2158.0"/>
        <n v="5052.0"/>
        <n v="4706.0"/>
        <n v="5875.0"/>
        <n v="7547.0"/>
        <n v="2095.0"/>
        <n v="6438.0"/>
        <n v="7028.0"/>
        <n v="4771.0"/>
        <n v="3286.0"/>
        <n v="4841.0"/>
        <n v="3943.0"/>
        <n v="8954.0"/>
        <n v="6690.0"/>
        <n v="9007.0"/>
        <n v="8252.0"/>
        <n v="8886.0"/>
        <n v="8106.0"/>
        <n v="4190.0"/>
        <n v="5088.0"/>
        <n v="1295.0"/>
        <n v="9674.0"/>
        <n v="2254.0"/>
        <n v="7459.0"/>
        <n v="1571.0"/>
        <n v="1012.0"/>
        <n v="8841.0"/>
        <n v="9074.0"/>
        <n v="3940.0"/>
        <n v="2275.0"/>
        <n v="6066.0"/>
        <n v="9999.0"/>
        <n v="7157.0"/>
        <n v="8590.0"/>
        <n v="2999.0"/>
        <n v="5601.0"/>
        <n v="9236.0"/>
        <n v="2387.0"/>
        <n v="9249.0"/>
        <n v="5309.0"/>
        <n v="7703.0"/>
        <n v="8885.0"/>
        <n v="7399.0"/>
        <n v="8907.0"/>
        <n v="5068.0"/>
        <n v="1590.0"/>
        <n v="8159.0"/>
        <n v="3333.0"/>
        <n v="8975.0"/>
        <n v="8497.0"/>
        <n v="4606.0"/>
        <n v="9920.0"/>
        <n v="1939.0"/>
        <n v="8752.0"/>
        <n v="2940.0"/>
        <n v="4918.0"/>
        <n v="8901.0"/>
        <n v="9573.0"/>
        <n v="2018.0"/>
        <n v="1254.0"/>
        <n v="9337.0"/>
        <n v="8031.0"/>
        <n v="1010.0"/>
        <n v="6422.0"/>
        <n v="1346.0"/>
        <n v="8835.0"/>
        <n v="6074.0"/>
        <n v="3729.0"/>
        <n v="2269.0"/>
        <n v="3782.0"/>
        <n v="9306.0"/>
        <n v="9460.0"/>
        <n v="6950.0"/>
        <n v="5761.0"/>
        <n v="5117.0"/>
        <n v="7543.0"/>
        <n v="7486.0"/>
        <n v="3741.0"/>
        <n v="4775.0"/>
        <n v="3176.0"/>
        <n v="6319.0"/>
        <n v="8916.0"/>
        <n v="9888.0"/>
        <n v="5798.0"/>
        <n v="2623.0"/>
        <n v="8072.0"/>
        <n v="7894.0"/>
        <n v="3503.0"/>
        <n v="7227.0"/>
        <n v="5225.0"/>
        <n v="4112.0"/>
        <n v="7837.0"/>
        <n v="1947.0"/>
        <n v="7675.0"/>
        <n v="4337.0"/>
        <n v="8716.0"/>
        <n v="9591.0"/>
        <n v="5155.0"/>
        <n v="5540.0"/>
        <n v="8129.0"/>
        <n v="6010.0"/>
        <n v="1857.0"/>
        <n v="7530.0"/>
        <n v="2914.0"/>
        <n v="5864.0"/>
        <n v="5502.0"/>
        <n v="1091.0"/>
        <n v="9629.0"/>
        <n v="1382.0"/>
        <n v="4667.0"/>
        <n v="9409.0"/>
        <n v="8788.0"/>
        <n v="5292.0"/>
        <n v="4626.0"/>
        <n v="3846.0"/>
        <n v="3668.0"/>
        <n v="1911.0"/>
        <n v="3324.0"/>
        <n v="6054.0"/>
        <n v="7466.0"/>
        <n v="9498.0"/>
        <n v="4580.0"/>
        <n v="6892.0"/>
        <n v="9632.0"/>
        <n v="6724.0"/>
        <n v="1904.0"/>
        <n v="5204.0"/>
        <n v="5909.0"/>
        <n v="6803.0"/>
        <n v="9351.0"/>
        <n v="9789.0"/>
        <n v="4413.0"/>
        <n v="3906.0"/>
        <n v="8150.0"/>
        <n v="5995.0"/>
        <n v="3275.0"/>
        <n v="2561.0"/>
        <n v="1394.0"/>
        <n v="1669.0"/>
        <n v="2830.0"/>
        <n v="7740.0"/>
        <n v="2478.0"/>
        <n v="5985.0"/>
        <n v="5531.0"/>
        <n v="2310.0"/>
        <n v="4523.0"/>
        <n v="7839.0"/>
        <n v="8676.0"/>
        <n v="4824.0"/>
        <n v="6456.0"/>
        <n v="5099.0"/>
        <n v="6135.0"/>
        <n v="7246.0"/>
        <n v="6770.0"/>
        <n v="3817.0"/>
        <n v="6170.0"/>
        <n v="6371.0"/>
        <n v="8621.0"/>
        <n v="5077.0"/>
        <n v="6595.0"/>
        <n v="3292.0"/>
        <n v="5344.0"/>
        <n v="5152.0"/>
        <n v="3877.0"/>
        <n v="8695.0"/>
        <n v="6114.0"/>
        <n v="1980.0"/>
        <n v="9434.0"/>
      </sharedItems>
    </cacheField>
    <cacheField name="Age" numFmtId="0">
      <sharedItems containsSemiMixedTypes="0" containsString="0" containsNumber="1" containsInteger="1">
        <n v="56.0"/>
        <n v="69.0"/>
        <n v="46.0"/>
        <n v="32.0"/>
        <n v="60.0"/>
        <n v="25.0"/>
        <n v="38.0"/>
        <n v="36.0"/>
        <n v="40.0"/>
        <n v="28.0"/>
        <n v="41.0"/>
        <n v="53.0"/>
        <n v="57.0"/>
        <n v="20.0"/>
        <n v="39.0"/>
        <n v="19.0"/>
        <n v="61.0"/>
        <n v="47.0"/>
        <n v="55.0"/>
        <n v="50.0"/>
        <n v="29.0"/>
        <n v="42.0"/>
        <n v="66.0"/>
        <n v="44.0"/>
        <n v="59.0"/>
        <n v="45.0"/>
        <n v="33.0"/>
        <n v="64.0"/>
        <n v="68.0"/>
        <n v="54.0"/>
        <n v="24.0"/>
        <n v="26.0"/>
        <n v="35.0"/>
        <n v="21.0"/>
        <n v="31.0"/>
        <n v="67.0"/>
        <n v="43.0"/>
        <n v="37.0"/>
        <n v="52.0"/>
        <n v="34.0"/>
        <n v="23.0"/>
        <n v="51.0"/>
        <n v="27.0"/>
        <n v="48.0"/>
        <n v="65.0"/>
        <n v="62.0"/>
        <n v="58.0"/>
        <n v="18.0"/>
        <n v="22.0"/>
        <n v="30.0"/>
        <n v="49.0"/>
      </sharedItems>
    </cacheField>
    <cacheField name="AnnualIncome (k$)" numFmtId="0">
      <sharedItems containsSemiMixedTypes="0" containsString="0" containsNumber="1" containsInteger="1">
        <n v="81.0"/>
        <n v="70.0"/>
        <n v="78.0"/>
        <n v="137.0"/>
        <n v="115.0"/>
        <n v="132.0"/>
        <n v="71.0"/>
        <n v="31.0"/>
        <n v="58.0"/>
        <n v="149.0"/>
        <n v="120.0"/>
        <n v="100.0"/>
        <n v="21.0"/>
        <n v="73.0"/>
        <n v="106.0"/>
        <n v="148.0"/>
        <n v="145.0"/>
        <n v="72.0"/>
        <n v="87.0"/>
        <n v="142.0"/>
        <n v="57.0"/>
        <n v="43.0"/>
        <n v="88.0"/>
        <n v="135.0"/>
        <n v="117.0"/>
        <n v="116.0"/>
        <n v="143.0"/>
        <n v="89.0"/>
        <n v="112.0"/>
        <n v="22.0"/>
        <n v="109.0"/>
        <n v="147.0"/>
        <n v="101.0"/>
        <n v="123.0"/>
        <n v="30.0"/>
        <n v="61.0"/>
        <n v="118.0"/>
        <n v="26.0"/>
        <n v="131.0"/>
        <n v="79.0"/>
        <n v="67.0"/>
        <n v="56.0"/>
        <n v="28.0"/>
        <n v="139.0"/>
        <n v="94.0"/>
        <n v="103.0"/>
        <n v="129.0"/>
        <n v="52.0"/>
        <n v="40.0"/>
        <n v="134.0"/>
        <n v="138.0"/>
        <n v="41.0"/>
        <n v="128.0"/>
        <n v="27.0"/>
        <n v="46.0"/>
        <n v="49.0"/>
        <n v="47.0"/>
        <n v="130.0"/>
        <n v="80.0"/>
        <n v="23.0"/>
        <n v="54.0"/>
        <n v="68.0"/>
        <n v="36.0"/>
        <n v="65.0"/>
        <n v="136.0"/>
        <n v="25.0"/>
        <n v="114.0"/>
        <n v="86.0"/>
        <n v="37.0"/>
        <n v="44.0"/>
        <n v="77.0"/>
        <n v="133.0"/>
        <n v="51.0"/>
        <n v="105.0"/>
        <n v="146.0"/>
        <n v="62.0"/>
        <n v="45.0"/>
        <n v="69.0"/>
        <n v="32.0"/>
        <n v="76.0"/>
        <n v="55.0"/>
        <n v="39.0"/>
        <n v="84.0"/>
        <n v="111.0"/>
        <n v="85.0"/>
        <n v="82.0"/>
        <n v="144.0"/>
        <n v="34.0"/>
        <n v="127.0"/>
        <n v="24.0"/>
        <n v="122.0"/>
        <n v="113.0"/>
        <n v="66.0"/>
        <n v="74.0"/>
        <n v="125.0"/>
        <n v="38.0"/>
        <n v="42.0"/>
        <n v="141.0"/>
        <n v="20.0"/>
        <n v="53.0"/>
        <n v="108.0"/>
        <n v="35.0"/>
      </sharedItems>
    </cacheField>
    <cacheField name="SpendingScore (1-100)" numFmtId="0">
      <sharedItems containsSemiMixedTypes="0" containsString="0" containsNumber="1" containsInteger="1">
        <n v="93.0"/>
        <n v="67.0"/>
        <n v="76.0"/>
        <n v="26.0"/>
        <n v="16.0"/>
        <n v="51.0"/>
        <n v="86.0"/>
        <n v="57.0"/>
        <n v="29.0"/>
        <n v="78.0"/>
        <n v="92.0"/>
        <n v="69.0"/>
        <n v="47.0"/>
        <n v="94.0"/>
        <n v="62.0"/>
        <n v="90.0"/>
        <n v="48.0"/>
        <n v="85.0"/>
        <n v="39.0"/>
        <n v="100.0"/>
        <n v="33.0"/>
        <n v="23.0"/>
        <n v="10.0"/>
        <n v="34.0"/>
        <n v="52.0"/>
        <n v="95.0"/>
        <n v="19.0"/>
        <n v="58.0"/>
        <n v="96.0"/>
        <n v="1.0"/>
        <n v="4.0"/>
        <n v="24.0"/>
        <n v="80.0"/>
        <n v="2.0"/>
        <n v="32.0"/>
        <n v="91.0"/>
        <n v="84.0"/>
        <n v="12.0"/>
        <n v="50.0"/>
        <n v="35.0"/>
        <n v="61.0"/>
        <n v="43.0"/>
        <n v="65.0"/>
        <n v="40.0"/>
        <n v="74.0"/>
        <n v="44.0"/>
        <n v="13.0"/>
        <n v="46.0"/>
        <n v="87.0"/>
        <n v="81.0"/>
        <n v="8.0"/>
        <n v="7.0"/>
        <n v="68.0"/>
        <n v="75.0"/>
        <n v="36.0"/>
        <n v="89.0"/>
        <n v="21.0"/>
        <n v="73.0"/>
        <n v="64.0"/>
        <n v="99.0"/>
        <n v="49.0"/>
        <n v="82.0"/>
        <n v="37.0"/>
        <n v="55.0"/>
        <n v="30.0"/>
        <n v="17.0"/>
        <n v="59.0"/>
        <n v="9.0"/>
        <n v="71.0"/>
        <n v="28.0"/>
        <n v="83.0"/>
        <n v="25.0"/>
        <n v="53.0"/>
        <n v="42.0"/>
        <n v="14.0"/>
        <n v="5.0"/>
        <n v="18.0"/>
        <n v="27.0"/>
        <n v="66.0"/>
        <n v="38.0"/>
        <n v="45.0"/>
        <n v="70.0"/>
        <n v="31.0"/>
        <n v="54.0"/>
      </sharedItems>
    </cacheField>
    <cacheField name="City" numFmtId="0">
      <sharedItems>
        <s v="New Jeffrey"/>
        <s v="Robertfurt"/>
        <s v="Lake Elaine"/>
        <s v="Dixonfurt"/>
        <s v="East Melaniefort"/>
        <s v="Jamesstad"/>
        <s v="Brendaburgh"/>
        <s v="Michaelstad"/>
        <s v="Masonbury"/>
        <s v="New Pamelashire"/>
        <s v="Port Melinda"/>
        <s v="East Alfred"/>
        <s v="Martinland"/>
        <s v="North Dominicview"/>
        <s v="New Rick"/>
        <s v="Murphyfurt"/>
        <s v="Ferrellhaven"/>
        <s v="West Ashley"/>
        <s v="East Jesseland"/>
        <s v="South Bradview"/>
        <s v="New Gregorychester"/>
        <s v="North Andrewland"/>
        <s v="Latashamouth"/>
        <s v="North Sarahtown"/>
        <s v="South Monica"/>
        <s v="Jessicamouth"/>
        <s v="North Lisa"/>
        <s v="New Michaelfurt"/>
        <s v="Chambersfort"/>
        <s v="West Jesseland"/>
        <s v="South Michael"/>
        <s v="Beckmouth"/>
        <s v="Johnsview"/>
        <s v="New Paulside"/>
        <s v="Maloneport"/>
        <s v="Tylerberg"/>
        <s v="Rojasfurt"/>
        <s v="Harrisshire"/>
        <s v="Ericside"/>
        <s v="North Anneshire"/>
        <s v="South Christinaville"/>
        <s v="Lake Joan"/>
        <s v="East Douglasshire"/>
        <s v="East Jessica"/>
        <s v="East Joshuamouth"/>
        <s v="Davidfurt"/>
        <s v="South Jamie"/>
        <s v="Lake Brian"/>
        <s v="North Jennifer"/>
        <s v="Melanieland"/>
        <s v="West Carla"/>
        <s v="Leachborough"/>
        <s v="Port Michael"/>
        <s v="Lake Christinamouth"/>
        <s v="Hartmanshire"/>
        <s v="Kristimouth"/>
        <s v="Rodriguezland"/>
        <s v="Youngborough"/>
        <s v="East Andrewside"/>
        <s v="South Nicoleton"/>
        <s v="Tinaview"/>
        <s v="Salazarberg"/>
        <s v="West Davidfurt"/>
        <s v="Lake Rebecca"/>
        <s v="Danielburgh"/>
        <s v="Yvettestad"/>
        <s v="New Allison"/>
        <s v="Lake Hunterside"/>
        <s v="Lake Emmaton"/>
        <s v="New Marvin"/>
        <s v="Lake Michaelburgh"/>
        <s v="Marcusburgh"/>
        <s v="North Cynthiastad"/>
        <s v="Heathermouth"/>
        <s v="Port Aaronmouth"/>
        <s v="South Laura"/>
        <s v="Collinsborough"/>
        <s v="Morrowland"/>
        <s v="Thomaschester"/>
        <s v="Gloriaport"/>
        <s v="Johnsonmouth"/>
        <s v="Jaimemouth"/>
        <s v="Michaelburgh"/>
        <s v="North Colleen"/>
        <s v="South Danielshire"/>
        <s v="New Scott"/>
        <s v="South Stephanieside"/>
        <s v="Paigebury"/>
        <s v="New Brandy"/>
        <s v="West Elizabeth"/>
        <s v="New James"/>
        <s v="Brianhaven"/>
        <s v="West Peggyborough"/>
        <s v="Greenshire"/>
        <s v="Jenkinshaven"/>
        <s v="West Philiphaven"/>
        <s v="Port William"/>
        <s v="Cannontown"/>
        <s v="Kathyberg"/>
        <s v="West Andrewfort"/>
        <s v="East Lisa"/>
        <s v="Port Stephanieland"/>
        <s v="Lake John"/>
        <s v="Ballardfurt"/>
        <s v="Jasonville"/>
        <s v="Port Heatherchester"/>
        <s v="South Johnathan"/>
        <s v="New Veronicamouth"/>
        <s v="Moorefurt"/>
        <s v="Port Brenda"/>
        <s v="North Bobby"/>
        <s v="Lake Cory"/>
        <s v="Petersonport"/>
        <s v="Hawkinsbury"/>
        <s v="Pinedaland"/>
        <s v="Nathanstad"/>
        <s v="South Margaretfort"/>
        <s v="Kimberlytown"/>
        <s v="Ericborough"/>
        <s v="Port Josechester"/>
        <s v="Rodriguezshire"/>
        <s v="Elizabethland"/>
        <s v="South Courtney"/>
        <s v="New Jennifer"/>
        <s v="Michaelland"/>
        <s v="West Anthonyton"/>
        <s v="Cheyennechester"/>
        <s v="Lake Matthewstad"/>
        <s v="West Ryan"/>
        <s v="East Jacquelinetown"/>
        <s v="Richardsonstad"/>
        <s v="South Michaelmouth"/>
        <s v="Yatesmouth"/>
        <s v="Juanberg"/>
        <s v="Bakerberg"/>
        <s v="South Jasonbury"/>
        <s v="Michealmouth"/>
        <s v="Port David"/>
        <s v="North Tracey"/>
        <s v="South Margarettown"/>
        <s v="New Joshuaville"/>
        <s v="East Davidton"/>
        <s v="New Brandon"/>
        <s v="Port Amy"/>
        <s v="Robertborough"/>
        <s v="Taylorland"/>
        <s v="Sawyertown"/>
        <s v="New Timothyberg"/>
        <s v="West Mallory"/>
        <s v="North Timothy"/>
        <s v="Lake Jerrytown"/>
        <s v="East Dustin"/>
        <s v="Lake Paul"/>
        <s v="Smithmouth"/>
        <s v="Craigfurt"/>
        <s v="North Antonio"/>
        <s v="North Hannah"/>
        <s v="Lynnbury"/>
        <s v="Paigeberg"/>
        <s v="South Kelly"/>
        <s v="West Joseph"/>
        <s v="Barbarachester"/>
        <s v="Tylerburgh"/>
        <s v="North Danielview"/>
        <s v="Wrightton"/>
        <s v="Lake Ashlee"/>
        <s v="Valdezside"/>
        <s v="South Tomland"/>
        <s v="Lake Marissaberg"/>
        <s v="Monicaview"/>
        <s v="Walshmouth"/>
        <s v="Port Catherinemouth"/>
        <s v="Buckborough"/>
        <s v="East Andrea"/>
        <s v="Jonesbury"/>
        <s v="South Dan"/>
        <s v="West James"/>
        <s v="East Connieport"/>
        <s v="Joseton"/>
        <s v="Jacksonview"/>
        <s v="Rebeccachester"/>
        <s v="South Tony"/>
        <s v="East Andrewchester"/>
        <s v="Taylorburgh"/>
        <s v="South Elizabeth"/>
        <s v="Port Jennastad"/>
        <s v="East Patriciachester"/>
        <s v="Kennethshire"/>
        <s v="South Anthony"/>
        <s v="West Brian"/>
        <s v="Ravenmouth"/>
        <s v="Sandrachester"/>
        <s v="New Stacey"/>
        <s v="Randyshire"/>
        <s v="East Christopherberg"/>
        <s v="North Maureenton"/>
      </sharedItems>
    </cacheField>
    <cacheField name="Gender" numFmtId="0">
      <sharedItems>
        <s v="Male"/>
        <s v="Female"/>
      </sharedItems>
    </cacheField>
    <cacheField name="AccountTenure (years)" numFmtId="0">
      <sharedItems containsSemiMixedTypes="0" containsString="0" containsNumber="1" containsInteger="1">
        <n v="2.0"/>
        <n v="12.0"/>
        <n v="14.0"/>
        <n v="10.0"/>
        <n v="4.0"/>
        <n v="8.0"/>
        <n v="13.0"/>
        <n v="9.0"/>
        <n v="7.0"/>
        <n v="1.0"/>
        <n v="3.0"/>
        <n v="6.0"/>
        <n v="5.0"/>
        <n v="11.0"/>
      </sharedItems>
    </cacheField>
    <cacheField name="Cluster-1" numFmtId="4">
      <sharedItems containsSemiMixedTypes="0" containsString="0" containsNumber="1">
        <n v="83.72574275573791"/>
        <n v="55.758407437802596"/>
        <n v="60.32151875574752"/>
        <n v="97.18538984847466"/>
        <n v="75.1065909225016"/>
        <n v="97.082439194738"/>
        <n v="77.69813382572325"/>
        <n v="48.27007354458868"/>
        <n v="12.727922061357855"/>
        <n v="60.728905802755904"/>
        <n v="130.6330739131557"/>
        <n v="104.23531071570709"/>
        <n v="84.43340571124678"/>
        <n v="118.06777714516353"/>
        <n v="73.23933369440222"/>
        <n v="59.135437767890075"/>
        <n v="109.07336980216573"/>
        <n v="77.38862965578342"/>
        <n v="96.20810776644555"/>
        <n v="111.57060544785082"/>
        <n v="123.4908903522847"/>
        <n v="110.64357188738983"/>
        <n v="86.16263691415206"/>
        <n v="48.76474136094644"/>
        <n v="126.01587201618692"/>
        <n v="17.26267650163207"/>
        <n v="10.44030650891055"/>
        <n v="68.59300255857006"/>
        <n v="124.19742348374221"/>
        <n v="78.26237921249263"/>
        <n v="82.46211251235322"/>
        <n v="127.41271522104849"/>
        <n v="50.00999900019995"/>
        <n v="72.00694410957877"/>
        <n v="42.04759208325728"/>
        <n v="102.6498904042279"/>
        <n v="77.3692445355388"/>
        <n v="57.982756057296896"/>
        <n v="108.18964830333815"/>
        <n v="18.439088914585774"/>
        <n v="61.1310068623117"/>
        <n v="102.41581909060729"/>
        <n v="109.48972554536796"/>
        <n v="72.69112738154499"/>
        <n v="24.186773244895647"/>
        <n v="105.47511554864494"/>
        <n v="65.5133574166368"/>
        <n v="69.1158447825099"/>
        <n v="91.35097153287424"/>
        <n v="49.20365840057018"/>
        <n v="93.2148056909416"/>
        <n v="23.021728866442675"/>
        <n v="108.77959367454909"/>
        <n v="49.09175083453431"/>
        <n v="34.88552708502482"/>
        <n v="25.942243542145693"/>
        <n v="78.40918313565064"/>
        <n v="54.20332093147061"/>
        <n v="55.80322571321482"/>
        <n v="99.84988733093293"/>
        <n v="76.36753236814714"/>
        <n v="94.83142938920619"/>
        <n v="86.40023148117139"/>
        <n v="63.63961030678928"/>
        <n v="91.26883367283708"/>
        <n v="103.96634070698074"/>
        <n v="110.11357772772621"/>
        <n v="90.80198235721508"/>
        <n v="62.81719509815764"/>
        <n v="74.68600939935136"/>
        <n v="77.00649323271382"/>
        <n v="71.02112361825881"/>
        <n v="12.0"/>
        <n v="77.83315488916018"/>
        <n v="107.16809226630845"/>
        <n v="119.85407794480753"/>
        <n v="95.03683496413377"/>
        <n v="98.85848471426213"/>
        <n v="48.010415536631214"/>
        <n v="41.6293165929973"/>
        <n v="103.77379245262264"/>
        <n v="31.32091952673165"/>
        <n v="20.615528128088304"/>
        <n v="69.26037828369117"/>
        <n v="6.082762530298219"/>
        <n v="16.0"/>
        <n v="13.45362404707371"/>
        <n v="92.65527507918802"/>
        <n v="8.06225774829855"/>
        <n v="100.17983829094555"/>
        <n v="88.54942122905152"/>
        <n v="39.6232255123179"/>
        <n v="80.8084154033477"/>
        <n v="21.2602916254693"/>
        <n v="68.0294054067798"/>
        <n v="76.10519036176179"/>
        <n v="25.317977802344327"/>
        <n v="96.04686356149273"/>
        <n v="44.598206241955516"/>
        <n v="108.90362712049586"/>
        <n v="104.39348638684312"/>
        <n v="17.88854381999832"/>
        <n v="35.12833614050059"/>
        <n v="72.3394774656273"/>
        <n v="25.179356624028344"/>
        <n v="101.17806086301516"/>
        <n v="111.01801655587259"/>
        <n v="95.524865872714"/>
        <n v="46.09772228646444"/>
        <n v="114.94781424629178"/>
        <n v="64.07027391856539"/>
        <n v="73.79024325749306"/>
        <n v="37.656340767525464"/>
        <n v="60.30754513325841"/>
        <n v="83.00602387778854"/>
        <n v="29.154759474226502"/>
        <n v="122.67436570041843"/>
        <n v="13.601470508735444"/>
        <n v="76.8505042273634"/>
        <n v="106.00471687618433"/>
        <n v="122.54386969571347"/>
        <n v="11.704699910719626"/>
        <n v="97.41663102366043"/>
        <n v="23.40939982143925"/>
        <n v="75.16648189186454"/>
        <n v="84.30895563343196"/>
        <n v="69.35416353759881"/>
        <n v="8.94427190999916"/>
        <n v="62.625873247404705"/>
        <n v="86.81589716175259"/>
        <n v="17.0"/>
        <n v="5.0990195135927845"/>
        <n v="54.405882034941776"/>
        <n v="66.2872536767062"/>
        <n v="123.43419299367578"/>
        <n v="78.29431652425353"/>
        <n v="77.05841939723393"/>
        <n v="45.17742799230607"/>
        <n v="38.600518131237564"/>
        <n v="67.72001181334805"/>
        <n v="47.41307836451879"/>
        <n v="110.72488428533127"/>
        <n v="41.593268686170845"/>
        <n v="37.48332962798263"/>
        <n v="99.24716620639605"/>
        <n v="31.76476034853718"/>
        <n v="51.24451190127583"/>
        <n v="67.26812023536856"/>
        <n v="80.11242100947892"/>
        <n v="13.152946437965905"/>
        <n v="64.4980619863884"/>
        <n v="40.52159917870962"/>
        <n v="102.39628899525607"/>
        <n v="41.23105625617661"/>
        <n v="82.05485969764375"/>
        <n v="19.849433241279208"/>
        <n v="91.76055797563569"/>
        <n v="95.25754563287887"/>
        <n v="75.69015788066504"/>
        <n v="34.058772731852805"/>
        <n v="78.77182237323191"/>
        <n v="45.34313619501854"/>
        <n v="31.78049716414141"/>
        <n v="46.69047011971501"/>
        <n v="94.2019108086455"/>
        <n v="103.39245620450265"/>
        <n v="86.68333173107735"/>
        <n v="100.62305898749054"/>
        <n v="75.71657678474378"/>
        <n v="12.165525060596439"/>
        <n v="84.05950273467003"/>
        <n v="75.66372975210778"/>
        <n v="69.06518659932803"/>
        <n v="108.70602559196064"/>
        <n v="80.26207074328447"/>
        <n v="25.079872407968907"/>
        <n v="107.20074626605917"/>
        <n v="109.17875251164945"/>
        <n v="62.20128616033595"/>
        <n v="101.59724405711013"/>
        <n v="20.024984394500787"/>
        <n v="43.01162633521314"/>
        <n v="82.34682750416071"/>
        <n v="106.70520137275409"/>
        <n v="120.20815280171308"/>
        <n v="60.37383539249432"/>
        <n v="97.59098319004681"/>
        <n v="96.00520819205592"/>
        <n v="109.65856099730654"/>
        <n v="47.265209192385896"/>
        <n v="54.120236510939236"/>
        <n v="7.0710678118654755"/>
      </sharedItems>
    </cacheField>
    <cacheField name="Cluster-2" numFmtId="0">
      <sharedItems containsSemiMixedTypes="0" containsString="0" containsNumber="1">
        <n v="34.785054261852174"/>
        <n v="7.0"/>
        <n v="17.88854381999832"/>
        <n v="75.13321502504735"/>
        <n v="62.93647591023825"/>
        <n v="62.64982043070834"/>
        <n v="28.231188426986208"/>
        <n v="3.1622776601683795"/>
        <n v="49.8196748283246"/>
        <n v="21.633307652783937"/>
        <n v="85.23496934944014"/>
        <n v="51.66236541235796"/>
        <n v="70.71067811865476"/>
        <n v="30.066592756745816"/>
        <n v="51.54609587543949"/>
        <n v="90.4267659490264"/>
        <n v="30.14962686336267"/>
        <n v="46.861498055439924"/>
        <n v="78.91767862779544"/>
        <n v="79.05694150420949"/>
        <n v="81.74350127074322"/>
        <n v="40.049968789001575"/>
        <n v="31.906112267087632"/>
        <n v="79.62411694957753"/>
        <n v="39.21734310225516"/>
        <n v="56.824290580701486"/>
        <n v="20.12461179749811"/>
        <n v="76.32168761236873"/>
        <n v="53.71219600798314"/>
        <n v="46.69047011971501"/>
        <n v="80.95677859203639"/>
        <n v="53.48831648126533"/>
        <n v="58.69412236331676"/>
        <n v="48.041648597857254"/>
        <n v="53.075418038862395"/>
        <n v="74.2024258363566"/>
        <n v="9.055385138137417"/>
        <n v="95.2102935611481"/>
        <n v="45.60701700396552"/>
        <n v="47.50789408087881"/>
        <n v="56.64803615307419"/>
        <n v="97.20082304178294"/>
        <n v="51.22499389946279"/>
        <n v="29.410882339705484"/>
        <n v="57.14017850864661"/>
        <n v="50.11985634456667"/>
        <n v="77.62087348130012"/>
        <n v="13.45362404707371"/>
        <n v="66.85057965343307"/>
        <n v="55.94640292279746"/>
        <n v="82.54089895318563"/>
        <n v="16.64331697709324"/>
        <n v="45.31004303683677"/>
        <n v="67.88225099390856"/>
        <n v="7.615773105863909"/>
        <n v="5.830951894845301"/>
        <n v="74.09453421137081"/>
        <n v="68.00735254367721"/>
        <n v="27.784887978899608"/>
        <n v="64.28841264178172"/>
        <n v="55.362442142665635"/>
        <n v="45.27692569068709"/>
        <n v="77.00649323271382"/>
        <n v="54.67174773134658"/>
        <n v="78.26237921249263"/>
        <n v="82.73451516749222"/>
        <n v="39.824615503479755"/>
        <n v="27.16615541441225"/>
        <n v="27.018512172212592"/>
        <n v="34.9857113690718"/>
        <n v="60.03332407921454"/>
        <n v="33.13608305156178"/>
        <n v="84.17244204607586"/>
        <n v="69.07966415668217"/>
        <n v="86.21484790916237"/>
        <n v="30.083217912982647"/>
        <n v="13.152946437965905"/>
        <n v="59.90826320300064"/>
        <n v="31.0"/>
        <n v="49.24428900898052"/>
        <n v="37.64306044943742"/>
        <n v="45.79301256742124"/>
        <n v="38.41874542459709"/>
        <n v="54.230987451824994"/>
        <n v="47.80167361086848"/>
        <n v="42.720018726587654"/>
        <n v="60.13318551349163"/>
        <n v="40.26164427839479"/>
        <n v="11.40175425099138"/>
        <n v="61.07372593840988"/>
        <n v="28.844410203711913"/>
        <n v="22.090722034374522"/>
        <n v="49.51767361255979"/>
        <n v="36.345563690772494"/>
        <n v="75.66372975210778"/>
        <n v="45.044422518220834"/>
        <n v="60.0"/>
        <n v="76.53757247260981"/>
        <n v="50.0"/>
        <n v="27.459060435491963"/>
        <n v="63.0317380372777"/>
        <n v="37.33630940518894"/>
        <n v="52.69724850502159"/>
        <n v="61.84658438426491"/>
        <n v="71.58910531638176"/>
        <n v="45.880278987817846"/>
        <n v="77.02596964660685"/>
        <n v="40.80441152620633"/>
        <n v="38.948684188300895"/>
        <n v="26.1725046566048"/>
        <n v="47.51841748206689"/>
        <n v="16.0312195418814"/>
        <n v="67.00746227100382"/>
        <n v="29.154759474226502"/>
        <n v="74.62573282722254"/>
        <n v="51.62363799656123"/>
        <n v="35.014282800023196"/>
        <n v="86.35392289873113"/>
        <n v="80.60397012554654"/>
        <n v="61.29437168288782"/>
        <n v="54.12947441089743"/>
        <n v="32.984845004941285"/>
        <n v="43.01162633521314"/>
        <n v="48.662100242385755"/>
        <n v="23.021728866442675"/>
        <n v="58.137767414994535"/>
        <n v="12.727922061357855"/>
        <n v="39.45883931389772"/>
        <n v="50.28916384272063"/>
        <n v="46.75467891024384"/>
        <n v="16.1245154965971"/>
        <n v="49.73932046178355"/>
        <n v="75.47184905645283"/>
        <n v="41.593268686170845"/>
        <n v="59.81638571495272"/>
        <n v="46.486557196677836"/>
        <n v="19.235384061671343"/>
        <n v="40.8166632639171"/>
        <n v="74.02702209328699"/>
        <n v="22.135943621178654"/>
        <n v="46.52956049652737"/>
        <n v="49.49747468305833"/>
        <n v="55.036351623268054"/>
        <n v="31.400636936215164"/>
        <n v="45.0"/>
        <n v="52.20153254455275"/>
        <n v="60.108235708594876"/>
        <n v="51.78802950489621"/>
        <n v="46.04345773288535"/>
        <n v="67.47592163134935"/>
        <n v="69.52697318307479"/>
        <n v="59.665735560705194"/>
        <n v="80.2122185206219"/>
        <n v="47.4236228055175"/>
        <n v="18.439088914585774"/>
        <n v="70.03570517957252"/>
        <n v="10.770329614269007"/>
        <n v="33.015148038438355"/>
        <n v="38.47076812334269"/>
        <n v="83.6301381082203"/>
        <n v="79.30952023559341"/>
        <n v="59.61543424315552"/>
        <n v="72.42237223399962"/>
        <n v="25.942243542145693"/>
        <n v="61.05735008989499"/>
        <n v="41.30375285612676"/>
        <n v="26.92582403567252"/>
        <n v="58.05170109479997"/>
        <n v="66.91038783328041"/>
        <n v="31.016124838541646"/>
        <n v="31.76476034853718"/>
        <n v="94.40338976964757"/>
        <n v="81.60882305241266"/>
        <n v="12.206555615733702"/>
        <n v="76.69419795525604"/>
        <n v="64.66065264130884"/>
        <n v="17.029386365926403"/>
        <n v="45.39823785126467"/>
        <n v="77.88452991448301"/>
        <n v="73.824115301167"/>
        <n v="14.317821063276353"/>
        <n v="48.41487374764082"/>
        <n v="77.69813382572325"/>
        <n v="80.77747210701756"/>
        <n v="35.6931365951495"/>
        <n v="23.430749027719962"/>
        <n v="55.226805085936306"/>
      </sharedItems>
    </cacheField>
    <cacheField name="Cluster-3" numFmtId="0">
      <sharedItems containsSemiMixedTypes="0" containsString="0" containsNumber="1">
        <n v="39.11521443121589"/>
        <n v="55.036351623268054"/>
        <n v="44.27188724235731"/>
        <n v="66.21933252457322"/>
        <n v="74.16872656315464"/>
        <n v="40.80441152620633"/>
        <n v="39.20459156782532"/>
        <n v="59.07622195096772"/>
        <n v="107.89810007595129"/>
        <n v="63.150613615387776"/>
        <n v="29.068883707497267"/>
        <n v="24.186773244895647"/>
        <n v="43.0"/>
        <n v="12.649110640673518"/>
        <n v="34.40930106817051"/>
        <n v="99.98499887483122"/>
        <n v="79.47955712005447"/>
        <n v="47.0"/>
        <n v="14.0"/>
        <n v="50.47771785649585"/>
        <n v="25.495097567963924"/>
        <n v="58.66856057549052"/>
        <n v="49.03060268852505"/>
        <n v="65.86349520030045"/>
        <n v="22.360679774997898"/>
        <n v="91.96738552334735"/>
        <n v="111.03603018840326"/>
        <n v="38.27531841800928"/>
        <n v="18.027756377319946"/>
        <n v="56.08029957123981"/>
        <n v="38.2099463490856"/>
        <n v="23.53720459187964"/>
        <n v="85.7962703152066"/>
        <n v="71.449282711585"/>
        <n v="103.09219175087898"/>
        <n v="12.529964086141668"/>
        <n v="89.1403387922662"/>
        <n v="53.31041174104736"/>
        <n v="90.13878188659973"/>
        <n v="96.54014708917737"/>
        <n v="68.6804193347711"/>
        <n v="10.44030650891055"/>
        <n v="92.34717104492157"/>
        <n v="90.0222194794152"/>
        <n v="82.73451516749222"/>
        <n v="2.23606797749979"/>
        <n v="94.19129471453293"/>
        <n v="66.91038783328041"/>
        <n v="78.77182237323191"/>
        <n v="57.28001396647874"/>
        <n v="56.293871780150276"/>
        <n v="114.23659658795863"/>
        <n v="63.50590523722971"/>
        <n v="60.41522986797286"/>
        <n v="74.94664769020693"/>
        <n v="103.31021246711285"/>
        <n v="78.02563681252464"/>
        <n v="57.77542730261716"/>
        <n v="53.23532661682466"/>
        <n v="60.08327554319921"/>
        <n v="52.20153254455275"/>
        <n v="30.528675044947494"/>
        <n v="48.507731342539614"/>
        <n v="46.09772228646444"/>
        <n v="63.324560795950255"/>
        <n v="77.78174593052023"/>
        <n v="9.433981132056603"/>
        <n v="51.62363799656123"/>
        <n v="88.45903006477066"/>
        <n v="58.18934610390462"/>
        <n v="47.095647357266465"/>
        <n v="34.20526275297414"/>
        <n v="68.0"/>
        <n v="114.56002793295748"/>
        <n v="53.08483775994799"/>
        <n v="69.46221994724903"/>
        <n v="31.38470965295043"/>
        <n v="57.723478758647246"/>
        <n v="84.92938243034621"/>
        <n v="82.00609733428362"/>
        <n v="70.66116330771806"/>
        <n v="17.0"/>
        <n v="78.87331614684399"/>
        <n v="107.54068997360952"/>
        <n v="74.00675644831355"/>
        <n v="101.17806086301516"/>
        <n v="96.51942809610924"/>
        <n v="106.96261028976434"/>
        <n v="17.46424919657298"/>
        <n v="98.41239759298622"/>
        <n v="27.85677655436824"/>
        <n v="41.0"/>
        <n v="67.00746227100382"/>
        <n v="97.41663102366043"/>
        <n v="85.27602242131137"/>
        <n v="52.61178575186362"/>
        <n v="84.2140130857092"/>
        <n v="85.9127464349732"/>
        <n v="68.8839603971781"/>
        <n v="99.04039579888602"/>
        <n v="6.324555320336759"/>
        <n v="100.89598604503551"/>
        <n v="84.581321815162"/>
        <n v="77.41446893184762"/>
        <n v="86.68333173107735"/>
        <n v="6.082762530298219"/>
        <n v="9.219544457292887"/>
        <n v="61.84658438426491"/>
        <n v="80.52949770115296"/>
        <n v="38.897300677553446"/>
        <n v="83.21658488546619"/>
        <n v="76.00657866263946"/>
        <n v="47.16990566028302"/>
        <n v="88.19297024139736"/>
        <n v="46.010868281309364"/>
        <n v="71.06335201775947"/>
        <n v="87.23531395025755"/>
        <n v="16.401219466856727"/>
        <n v="104.1393297462587"/>
        <n v="32.64965543462902"/>
        <n v="75.61084578286372"/>
        <n v="32.202484376209235"/>
        <n v="116.69190203266035"/>
        <n v="19.235384061671343"/>
        <n v="84.8999411071645"/>
        <n v="75.16648189186454"/>
        <n v="38.05259518088089"/>
        <n v="51.478150704935004"/>
        <n v="114.97825881443848"/>
        <n v="46.06517122512408"/>
        <n v="44.91102314577124"/>
        <n v="101.53324578678651"/>
        <n v="103.85566907973777"/>
        <n v="52.3450093132096"/>
        <n v="93.13431161500041"/>
        <n v="17.204650534085253"/>
        <n v="38.07886552931954"/>
        <n v="67.06713054842886"/>
        <n v="81.85963596303125"/>
        <n v="76.48529270389177"/>
        <n v="53.16013544000805"/>
        <n v="62.20128616033595"/>
        <n v="61.220911460055866"/>
        <n v="40.0"/>
        <n v="66.70832032063167"/>
        <n v="87.32124598286491"/>
        <n v="15.811388300841896"/>
        <n v="99.64436762808022"/>
        <n v="63.13477647065839"/>
        <n v="86.05230967266364"/>
        <n v="15.0"/>
        <n v="117.61377470347595"/>
        <n v="50.0"/>
        <n v="90.78546139112804"/>
        <n v="101.19288512538814"/>
        <n v="73.02739212103907"/>
        <n v="126.15070352558483"/>
        <n v="44.721359549995796"/>
        <n v="78.44743462982075"/>
        <n v="50.48762224545735"/>
        <n v="72.24956747275377"/>
        <n v="81.02468759581859"/>
        <n v="60.959002616512684"/>
        <n v="79.81227975693966"/>
        <n v="91.21403400793103"/>
        <n v="85.98837130682264"/>
        <n v="65.19202405202648"/>
        <n v="55.362442142665635"/>
        <n v="38.63935817272331"/>
        <n v="115.96551211459379"/>
        <n v="26.570660511172846"/>
        <n v="43.18564576337837"/>
        <n v="73.824115301167"/>
        <n v="24.839484696748443"/>
        <n v="39.01281840626232"/>
        <n v="90.0499861188218"/>
        <n v="89.8443097808648"/>
        <n v="60.8276253029822"/>
        <n v="47.4236228055175"/>
        <n v="62.625873247404705"/>
        <n v="122.64175471673585"/>
        <n v="73.00684899377592"/>
        <n v="36.345563690772494"/>
        <n v="56.79788728465171"/>
        <n v="17.029386365926403"/>
        <n v="12.0"/>
        <n v="72.78049189171504"/>
        <n v="58.180752831155424"/>
        <n v="88.05679985100527"/>
        <n v="55.21775076911409"/>
        <n v="110.3177229641729"/>
      </sharedItems>
    </cacheField>
    <cacheField name="Customer" numFmtId="0">
      <sharedItems>
        <s v="Cluster-2"/>
        <s v="Cluster-3"/>
        <s v="Cluster-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1" cacheId="0" dataCaption="" compact="0" compactData="0">
  <location ref="A210:E795" firstHeaderRow="0" firstDataRow="4" firstDataCol="0" rowPageCount="1" colPageCount="1"/>
  <pivotFields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AnnualIncome (k$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SpendingScore (1-100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Gender" axis="axisPage" compact="0" outline="0" multipleItemSelectionAllowed="1" showAll="0">
      <items>
        <item x="0"/>
        <item x="1"/>
        <item t="default"/>
      </items>
    </pivotField>
    <pivotField name="AccountTenure (year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luster-1" axis="axisRow" compact="0" numFmtId="4" outline="0" multipleItemSelectionAllowed="1" showAll="0" sortType="ascending">
      <items>
        <item x="131"/>
        <item x="84"/>
        <item x="191"/>
        <item x="88"/>
        <item x="127"/>
        <item x="26"/>
        <item x="121"/>
        <item x="72"/>
        <item x="169"/>
        <item x="8"/>
        <item x="149"/>
        <item x="86"/>
        <item x="117"/>
        <item x="85"/>
        <item x="130"/>
        <item x="25"/>
        <item x="101"/>
        <item x="39"/>
        <item x="155"/>
        <item x="180"/>
        <item x="82"/>
        <item x="93"/>
        <item x="51"/>
        <item x="123"/>
        <item x="44"/>
        <item x="175"/>
        <item x="104"/>
        <item x="96"/>
        <item x="55"/>
        <item x="115"/>
        <item x="81"/>
        <item x="145"/>
        <item x="162"/>
        <item x="159"/>
        <item x="54"/>
        <item x="102"/>
        <item x="143"/>
        <item x="112"/>
        <item x="138"/>
        <item x="91"/>
        <item x="151"/>
        <item x="153"/>
        <item x="142"/>
        <item x="79"/>
        <item x="34"/>
        <item x="181"/>
        <item x="98"/>
        <item x="137"/>
        <item x="161"/>
        <item x="108"/>
        <item x="163"/>
        <item x="189"/>
        <item x="140"/>
        <item x="78"/>
        <item x="7"/>
        <item x="23"/>
        <item x="53"/>
        <item x="49"/>
        <item x="32"/>
        <item x="146"/>
        <item x="190"/>
        <item x="57"/>
        <item x="132"/>
        <item x="1"/>
        <item x="58"/>
        <item x="37"/>
        <item x="15"/>
        <item x="113"/>
        <item x="2"/>
        <item x="185"/>
        <item x="9"/>
        <item x="40"/>
        <item x="178"/>
        <item x="128"/>
        <item x="68"/>
        <item x="63"/>
        <item x="110"/>
        <item x="150"/>
        <item x="46"/>
        <item x="133"/>
        <item x="147"/>
        <item x="139"/>
        <item x="94"/>
        <item x="27"/>
        <item x="172"/>
        <item x="47"/>
        <item x="83"/>
        <item x="126"/>
        <item x="71"/>
        <item x="33"/>
        <item x="103"/>
        <item x="43"/>
        <item x="14"/>
        <item x="111"/>
        <item x="69"/>
        <item x="4"/>
        <item x="124"/>
        <item x="171"/>
        <item x="158"/>
        <item x="168"/>
        <item x="95"/>
        <item x="60"/>
        <item x="118"/>
        <item x="70"/>
        <item x="136"/>
        <item x="36"/>
        <item x="17"/>
        <item x="6"/>
        <item x="73"/>
        <item x="29"/>
        <item x="135"/>
        <item x="56"/>
        <item x="160"/>
        <item x="148"/>
        <item x="174"/>
        <item x="92"/>
        <item x="154"/>
        <item x="182"/>
        <item x="30"/>
        <item x="114"/>
        <item x="0"/>
        <item x="170"/>
        <item x="125"/>
        <item x="12"/>
        <item x="22"/>
        <item x="62"/>
        <item x="166"/>
        <item x="129"/>
        <item x="90"/>
        <item x="67"/>
        <item x="64"/>
        <item x="48"/>
        <item x="156"/>
        <item x="87"/>
        <item x="50"/>
        <item x="164"/>
        <item x="61"/>
        <item x="76"/>
        <item x="157"/>
        <item x="107"/>
        <item x="187"/>
        <item x="97"/>
        <item x="18"/>
        <item x="5"/>
        <item x="3"/>
        <item x="122"/>
        <item x="186"/>
        <item x="77"/>
        <item x="144"/>
        <item x="59"/>
        <item x="89"/>
        <item x="167"/>
        <item x="105"/>
        <item x="179"/>
        <item x="152"/>
        <item x="41"/>
        <item x="35"/>
        <item x="165"/>
        <item x="80"/>
        <item x="65"/>
        <item x="11"/>
        <item x="100"/>
        <item x="45"/>
        <item x="119"/>
        <item x="183"/>
        <item x="74"/>
        <item x="176"/>
        <item x="38"/>
        <item x="173"/>
        <item x="52"/>
        <item x="99"/>
        <item x="16"/>
        <item x="177"/>
        <item x="42"/>
        <item x="188"/>
        <item x="66"/>
        <item x="21"/>
        <item x="141"/>
        <item x="106"/>
        <item x="19"/>
        <item x="109"/>
        <item x="13"/>
        <item x="75"/>
        <item x="184"/>
        <item x="120"/>
        <item x="116"/>
        <item x="134"/>
        <item x="20"/>
        <item x="28"/>
        <item x="24"/>
        <item x="31"/>
        <item x="10"/>
        <item t="default"/>
      </items>
    </pivotField>
    <pivotField name="Cluster-2" axis="axisRow" compact="0" outline="0" multipleItemSelectionAllowed="1" showAll="0" sortType="ascending">
      <items>
        <item x="7"/>
        <item x="55"/>
        <item x="1"/>
        <item x="54"/>
        <item x="36"/>
        <item x="156"/>
        <item x="88"/>
        <item x="173"/>
        <item x="126"/>
        <item x="76"/>
        <item x="47"/>
        <item x="180"/>
        <item x="111"/>
        <item x="130"/>
        <item x="51"/>
        <item x="176"/>
        <item x="2"/>
        <item x="154"/>
        <item x="136"/>
        <item x="26"/>
        <item x="9"/>
        <item x="91"/>
        <item x="139"/>
        <item x="124"/>
        <item x="185"/>
        <item x="163"/>
        <item x="109"/>
        <item x="166"/>
        <item x="68"/>
        <item x="67"/>
        <item x="99"/>
        <item x="58"/>
        <item x="6"/>
        <item x="90"/>
        <item x="113"/>
        <item x="43"/>
        <item x="13"/>
        <item x="75"/>
        <item x="16"/>
        <item x="78"/>
        <item x="169"/>
        <item x="143"/>
        <item x="170"/>
        <item x="22"/>
        <item x="121"/>
        <item x="157"/>
        <item x="71"/>
        <item x="0"/>
        <item x="69"/>
        <item x="116"/>
        <item x="184"/>
        <item x="93"/>
        <item x="101"/>
        <item x="80"/>
        <item x="82"/>
        <item x="158"/>
        <item x="108"/>
        <item x="24"/>
        <item x="127"/>
        <item x="66"/>
        <item x="21"/>
        <item x="87"/>
        <item x="107"/>
        <item x="137"/>
        <item x="165"/>
        <item x="133"/>
        <item x="85"/>
        <item x="122"/>
        <item x="144"/>
        <item x="95"/>
        <item x="61"/>
        <item x="52"/>
        <item x="177"/>
        <item x="38"/>
        <item x="81"/>
        <item x="105"/>
        <item x="148"/>
        <item x="135"/>
        <item x="140"/>
        <item x="29"/>
        <item x="129"/>
        <item x="17"/>
        <item x="153"/>
        <item x="39"/>
        <item x="110"/>
        <item x="84"/>
        <item x="33"/>
        <item x="181"/>
        <item x="123"/>
        <item x="79"/>
        <item x="141"/>
        <item x="92"/>
        <item x="131"/>
        <item x="8"/>
        <item x="98"/>
        <item x="45"/>
        <item x="128"/>
        <item x="42"/>
        <item x="14"/>
        <item x="115"/>
        <item x="11"/>
        <item x="147"/>
        <item x="145"/>
        <item x="102"/>
        <item x="34"/>
        <item x="31"/>
        <item x="28"/>
        <item x="120"/>
        <item x="83"/>
        <item x="63"/>
        <item x="142"/>
        <item x="186"/>
        <item x="60"/>
        <item x="49"/>
        <item x="40"/>
        <item x="25"/>
        <item x="44"/>
        <item x="167"/>
        <item x="125"/>
        <item x="32"/>
        <item x="161"/>
        <item x="151"/>
        <item x="134"/>
        <item x="77"/>
        <item x="96"/>
        <item x="70"/>
        <item x="146"/>
        <item x="86"/>
        <item x="164"/>
        <item x="89"/>
        <item x="119"/>
        <item x="103"/>
        <item x="5"/>
        <item x="4"/>
        <item x="100"/>
        <item x="59"/>
        <item x="175"/>
        <item x="48"/>
        <item x="168"/>
        <item x="112"/>
        <item x="149"/>
        <item x="53"/>
        <item x="57"/>
        <item x="73"/>
        <item x="150"/>
        <item x="155"/>
        <item x="12"/>
        <item x="104"/>
        <item x="162"/>
        <item x="179"/>
        <item x="138"/>
        <item x="56"/>
        <item x="35"/>
        <item x="114"/>
        <item x="3"/>
        <item x="132"/>
        <item x="94"/>
        <item x="27"/>
        <item x="97"/>
        <item x="174"/>
        <item x="62"/>
        <item x="106"/>
        <item x="46"/>
        <item x="182"/>
        <item x="178"/>
        <item x="64"/>
        <item x="18"/>
        <item x="19"/>
        <item x="160"/>
        <item x="23"/>
        <item x="152"/>
        <item x="118"/>
        <item x="183"/>
        <item x="30"/>
        <item x="172"/>
        <item x="20"/>
        <item x="50"/>
        <item x="65"/>
        <item x="159"/>
        <item x="72"/>
        <item x="10"/>
        <item x="74"/>
        <item x="117"/>
        <item x="15"/>
        <item x="171"/>
        <item x="37"/>
        <item x="41"/>
        <item t="default"/>
      </items>
    </pivotField>
    <pivotField name="Cluster-3" axis="axisRow" compact="0" outline="0" multipleItemSelectionAllowed="1" showAll="0" sortType="ascending">
      <items>
        <item x="45"/>
        <item x="105"/>
        <item x="100"/>
        <item x="106"/>
        <item x="66"/>
        <item x="41"/>
        <item x="185"/>
        <item x="35"/>
        <item x="13"/>
        <item x="18"/>
        <item x="150"/>
        <item x="146"/>
        <item x="117"/>
        <item x="81"/>
        <item x="184"/>
        <item x="135"/>
        <item x="88"/>
        <item x="28"/>
        <item x="123"/>
        <item x="24"/>
        <item x="31"/>
        <item x="11"/>
        <item x="173"/>
        <item x="20"/>
        <item x="170"/>
        <item x="90"/>
        <item x="10"/>
        <item x="61"/>
        <item x="76"/>
        <item x="121"/>
        <item x="119"/>
        <item x="71"/>
        <item x="14"/>
        <item x="182"/>
        <item x="126"/>
        <item x="136"/>
        <item x="30"/>
        <item x="27"/>
        <item x="168"/>
        <item x="109"/>
        <item x="174"/>
        <item x="0"/>
        <item x="6"/>
        <item x="143"/>
        <item x="5"/>
        <item x="91"/>
        <item x="12"/>
        <item x="171"/>
        <item x="2"/>
        <item x="157"/>
        <item x="130"/>
        <item x="114"/>
        <item x="129"/>
        <item x="63"/>
        <item x="17"/>
        <item x="70"/>
        <item x="112"/>
        <item x="178"/>
        <item x="62"/>
        <item x="22"/>
        <item x="152"/>
        <item x="19"/>
        <item x="159"/>
        <item x="127"/>
        <item x="67"/>
        <item x="60"/>
        <item x="133"/>
        <item x="95"/>
        <item x="74"/>
        <item x="140"/>
        <item x="58"/>
        <item x="37"/>
        <item x="1"/>
        <item x="189"/>
        <item x="167"/>
        <item x="29"/>
        <item x="50"/>
        <item x="183"/>
        <item x="49"/>
        <item x="77"/>
        <item x="57"/>
        <item x="187"/>
        <item x="69"/>
        <item x="21"/>
        <item x="7"/>
        <item x="59"/>
        <item x="53"/>
        <item x="177"/>
        <item x="162"/>
        <item x="142"/>
        <item x="107"/>
        <item x="141"/>
        <item x="179"/>
        <item x="148"/>
        <item x="9"/>
        <item x="64"/>
        <item x="52"/>
        <item x="166"/>
        <item x="23"/>
        <item x="3"/>
        <item x="144"/>
        <item x="47"/>
        <item x="92"/>
        <item x="137"/>
        <item x="72"/>
        <item x="40"/>
        <item x="98"/>
        <item x="75"/>
        <item x="80"/>
        <item x="115"/>
        <item x="33"/>
        <item x="160"/>
        <item x="186"/>
        <item x="181"/>
        <item x="155"/>
        <item x="172"/>
        <item x="84"/>
        <item x="4"/>
        <item x="54"/>
        <item x="125"/>
        <item x="120"/>
        <item x="111"/>
        <item x="139"/>
        <item x="103"/>
        <item x="65"/>
        <item x="56"/>
        <item x="158"/>
        <item x="48"/>
        <item x="82"/>
        <item x="16"/>
        <item x="163"/>
        <item x="108"/>
        <item x="161"/>
        <item x="138"/>
        <item x="79"/>
        <item x="44"/>
        <item x="110"/>
        <item x="96"/>
        <item x="102"/>
        <item x="124"/>
        <item x="78"/>
        <item x="94"/>
        <item x="32"/>
        <item x="97"/>
        <item x="165"/>
        <item x="149"/>
        <item x="104"/>
        <item x="116"/>
        <item x="145"/>
        <item x="188"/>
        <item x="113"/>
        <item x="68"/>
        <item x="36"/>
        <item x="176"/>
        <item x="43"/>
        <item x="175"/>
        <item x="38"/>
        <item x="153"/>
        <item x="164"/>
        <item x="25"/>
        <item x="42"/>
        <item x="134"/>
        <item x="46"/>
        <item x="86"/>
        <item x="39"/>
        <item x="93"/>
        <item x="89"/>
        <item x="99"/>
        <item x="147"/>
        <item x="15"/>
        <item x="101"/>
        <item x="85"/>
        <item x="154"/>
        <item x="131"/>
        <item x="34"/>
        <item x="55"/>
        <item x="132"/>
        <item x="118"/>
        <item x="87"/>
        <item x="83"/>
        <item x="8"/>
        <item x="190"/>
        <item x="26"/>
        <item x="51"/>
        <item x="73"/>
        <item x="128"/>
        <item x="169"/>
        <item x="122"/>
        <item x="151"/>
        <item x="180"/>
        <item x="156"/>
        <item t="default"/>
      </items>
    </pivotField>
    <pivotField name="Customer" compact="0" outline="0" multipleItemSelectionAllowed="1" showAll="0">
      <items>
        <item x="0"/>
        <item x="1"/>
        <item x="2"/>
        <item t="default"/>
      </items>
    </pivotField>
  </pivotFields>
  <rowFields>
    <field x="7"/>
    <field x="8"/>
    <field x="9"/>
  </rowFields>
  <colFields>
    <field x="-2"/>
  </colFields>
  <pageFields>
    <pageField fld="5"/>
  </pageFields>
  <dataFields>
    <dataField name="AVERAGE of AnnualIncome (k$)" fld="2" subtotal="average" baseField="0"/>
    <dataField name="AVERAGE of SpendingScore (1-100)" fld="3" subtotal="average" baseField="0"/>
  </dataFields>
</pivotTableDefinition>
</file>

<file path=xl/tables/table1.xml><?xml version="1.0" encoding="utf-8"?>
<table xmlns="http://schemas.openxmlformats.org/spreadsheetml/2006/main" ref="A1:K201" displayName="DataSet" name="DataSet" id="1">
  <tableColumns count="11">
    <tableColumn name="CustomerID" id="1"/>
    <tableColumn name="Age" id="2"/>
    <tableColumn name="AnnualIncome (k$)" id="3"/>
    <tableColumn name="SpendingScore (1-100)" id="4"/>
    <tableColumn name="City" id="5"/>
    <tableColumn name="Gender" id="6"/>
    <tableColumn name="AccountTenure (years)" id="7"/>
    <tableColumn name="Cluster-1" id="8"/>
    <tableColumn name="Cluster-2" id="9"/>
    <tableColumn name="Cluster-3" id="10"/>
    <tableColumn name="Customer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29"/>
    <col customWidth="1" min="2" max="2" width="13.29"/>
    <col customWidth="1" min="3" max="3" width="26.43"/>
    <col customWidth="1" min="4" max="4" width="29.43"/>
    <col customWidth="1" min="5" max="5" width="24.57"/>
    <col customWidth="1" min="6" max="6" width="16.43"/>
    <col customWidth="1" min="7" max="7" width="29.43"/>
    <col customWidth="1" min="8" max="8" width="18.86"/>
    <col customWidth="1" min="9" max="9" width="12.86"/>
    <col customWidth="1" min="10" max="10" width="13.71"/>
    <col customWidth="1" min="11" max="11" width="15.29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>
      <c r="A2" s="5">
        <v>7613.0</v>
      </c>
      <c r="B2" s="6">
        <v>56.0</v>
      </c>
      <c r="C2" s="6">
        <v>81.0</v>
      </c>
      <c r="D2" s="6">
        <v>93.0</v>
      </c>
      <c r="E2" s="7" t="s">
        <v>11</v>
      </c>
      <c r="F2" s="7" t="s">
        <v>12</v>
      </c>
      <c r="G2" s="6">
        <v>2.0</v>
      </c>
      <c r="H2" s="8">
        <f t="shared" ref="H2:H3" si="1">SQRT((C2-40)^2 + (D2-20)^2)</f>
        <v>83.72574276</v>
      </c>
      <c r="I2" s="9">
        <f t="shared" ref="I2:I201" si="2">SQRT((C2-70)^2 + (D2-60)^2)</f>
        <v>34.78505426</v>
      </c>
      <c r="J2" s="9">
        <f t="shared" ref="J2:J201" si="3">SQRT((C2-120)^2 + (D2-90)^2)</f>
        <v>39.11521443</v>
      </c>
      <c r="K2" s="10" t="str">
        <f t="shared" ref="K2:K201" si="4">IF(H2=MIN(H2:J2), "Cluster-1",IF(I2=MIN(I2:J2), "Cluster-2" , "Cluster-3"))</f>
        <v>Cluster-2</v>
      </c>
    </row>
    <row r="3">
      <c r="A3" s="11">
        <v>2256.0</v>
      </c>
      <c r="B3" s="12">
        <v>69.0</v>
      </c>
      <c r="C3" s="12">
        <v>70.0</v>
      </c>
      <c r="D3" s="12">
        <v>67.0</v>
      </c>
      <c r="E3" s="13" t="s">
        <v>13</v>
      </c>
      <c r="F3" s="13" t="s">
        <v>14</v>
      </c>
      <c r="G3" s="12">
        <v>12.0</v>
      </c>
      <c r="H3" s="14">
        <f t="shared" si="1"/>
        <v>55.75840744</v>
      </c>
      <c r="I3" s="15">
        <f t="shared" si="2"/>
        <v>7</v>
      </c>
      <c r="J3" s="15">
        <f t="shared" si="3"/>
        <v>55.03635162</v>
      </c>
      <c r="K3" s="16" t="str">
        <f t="shared" si="4"/>
        <v>Cluster-2</v>
      </c>
    </row>
    <row r="4">
      <c r="A4" s="5">
        <v>9452.0</v>
      </c>
      <c r="B4" s="6">
        <v>46.0</v>
      </c>
      <c r="C4" s="6">
        <v>78.0</v>
      </c>
      <c r="D4" s="6">
        <v>76.0</v>
      </c>
      <c r="E4" s="7" t="s">
        <v>15</v>
      </c>
      <c r="F4" s="7" t="s">
        <v>14</v>
      </c>
      <c r="G4" s="6">
        <v>14.0</v>
      </c>
      <c r="H4" s="8">
        <f>SQRT((C4-47.9)^2 + (D4-23.725)^2)</f>
        <v>60.32151876</v>
      </c>
      <c r="I4" s="9">
        <f t="shared" si="2"/>
        <v>17.88854382</v>
      </c>
      <c r="J4" s="9">
        <f t="shared" si="3"/>
        <v>44.27188724</v>
      </c>
      <c r="K4" s="17" t="str">
        <f t="shared" si="4"/>
        <v>Cluster-2</v>
      </c>
    </row>
    <row r="5">
      <c r="A5" s="11">
        <v>4189.0</v>
      </c>
      <c r="B5" s="12">
        <v>32.0</v>
      </c>
      <c r="C5" s="12">
        <v>137.0</v>
      </c>
      <c r="D5" s="12">
        <v>26.0</v>
      </c>
      <c r="E5" s="13" t="s">
        <v>16</v>
      </c>
      <c r="F5" s="13" t="s">
        <v>14</v>
      </c>
      <c r="G5" s="12">
        <v>10.0</v>
      </c>
      <c r="H5" s="14">
        <f t="shared" ref="H5:H201" si="5">SQRT((C5-40)^2 + (D5-20)^2)</f>
        <v>97.18538985</v>
      </c>
      <c r="I5" s="15">
        <f t="shared" si="2"/>
        <v>75.13321503</v>
      </c>
      <c r="J5" s="15">
        <f t="shared" si="3"/>
        <v>66.21933252</v>
      </c>
      <c r="K5" s="16" t="str">
        <f t="shared" si="4"/>
        <v>Cluster-3</v>
      </c>
    </row>
    <row r="6">
      <c r="A6" s="5">
        <v>4939.0</v>
      </c>
      <c r="B6" s="6">
        <v>60.0</v>
      </c>
      <c r="C6" s="6">
        <v>115.0</v>
      </c>
      <c r="D6" s="6">
        <v>16.0</v>
      </c>
      <c r="E6" s="7" t="s">
        <v>17</v>
      </c>
      <c r="F6" s="7" t="s">
        <v>12</v>
      </c>
      <c r="G6" s="6">
        <v>4.0</v>
      </c>
      <c r="H6" s="8">
        <f t="shared" si="5"/>
        <v>75.10659092</v>
      </c>
      <c r="I6" s="9">
        <f t="shared" si="2"/>
        <v>62.93647591</v>
      </c>
      <c r="J6" s="9">
        <f t="shared" si="3"/>
        <v>74.16872656</v>
      </c>
      <c r="K6" s="17" t="str">
        <f t="shared" si="4"/>
        <v>Cluster-2</v>
      </c>
    </row>
    <row r="7">
      <c r="A7" s="11">
        <v>8353.0</v>
      </c>
      <c r="B7" s="12">
        <v>25.0</v>
      </c>
      <c r="C7" s="12">
        <v>132.0</v>
      </c>
      <c r="D7" s="12">
        <v>51.0</v>
      </c>
      <c r="E7" s="13" t="s">
        <v>18</v>
      </c>
      <c r="F7" s="13" t="s">
        <v>14</v>
      </c>
      <c r="G7" s="12">
        <v>12.0</v>
      </c>
      <c r="H7" s="14">
        <f t="shared" si="5"/>
        <v>97.08243919</v>
      </c>
      <c r="I7" s="15">
        <f t="shared" si="2"/>
        <v>62.64982043</v>
      </c>
      <c r="J7" s="15">
        <f t="shared" si="3"/>
        <v>40.80441153</v>
      </c>
      <c r="K7" s="16" t="str">
        <f t="shared" si="4"/>
        <v>Cluster-3</v>
      </c>
    </row>
    <row r="8">
      <c r="A8" s="5">
        <v>2555.0</v>
      </c>
      <c r="B8" s="6">
        <v>38.0</v>
      </c>
      <c r="C8" s="6">
        <v>81.0</v>
      </c>
      <c r="D8" s="6">
        <v>86.0</v>
      </c>
      <c r="E8" s="7" t="s">
        <v>19</v>
      </c>
      <c r="F8" s="7" t="s">
        <v>12</v>
      </c>
      <c r="G8" s="6">
        <v>8.0</v>
      </c>
      <c r="H8" s="8">
        <f t="shared" si="5"/>
        <v>77.69813383</v>
      </c>
      <c r="I8" s="9">
        <f t="shared" si="2"/>
        <v>28.23118843</v>
      </c>
      <c r="J8" s="9">
        <f t="shared" si="3"/>
        <v>39.20459157</v>
      </c>
      <c r="K8" s="17" t="str">
        <f t="shared" si="4"/>
        <v>Cluster-2</v>
      </c>
    </row>
    <row r="9">
      <c r="A9" s="11">
        <v>8915.0</v>
      </c>
      <c r="B9" s="12">
        <v>56.0</v>
      </c>
      <c r="C9" s="12">
        <v>71.0</v>
      </c>
      <c r="D9" s="12">
        <v>57.0</v>
      </c>
      <c r="E9" s="13" t="s">
        <v>20</v>
      </c>
      <c r="F9" s="13" t="s">
        <v>12</v>
      </c>
      <c r="G9" s="12">
        <v>13.0</v>
      </c>
      <c r="H9" s="14">
        <f t="shared" si="5"/>
        <v>48.27007354</v>
      </c>
      <c r="I9" s="15">
        <f t="shared" si="2"/>
        <v>3.16227766</v>
      </c>
      <c r="J9" s="15">
        <f t="shared" si="3"/>
        <v>59.07622195</v>
      </c>
      <c r="K9" s="16" t="str">
        <f t="shared" si="4"/>
        <v>Cluster-2</v>
      </c>
    </row>
    <row r="10">
      <c r="A10" s="5">
        <v>6561.0</v>
      </c>
      <c r="B10" s="6">
        <v>36.0</v>
      </c>
      <c r="C10" s="6">
        <v>31.0</v>
      </c>
      <c r="D10" s="6">
        <v>29.0</v>
      </c>
      <c r="E10" s="7" t="s">
        <v>21</v>
      </c>
      <c r="F10" s="7" t="s">
        <v>12</v>
      </c>
      <c r="G10" s="6">
        <v>9.0</v>
      </c>
      <c r="H10" s="8">
        <f t="shared" si="5"/>
        <v>12.72792206</v>
      </c>
      <c r="I10" s="9">
        <f t="shared" si="2"/>
        <v>49.81967483</v>
      </c>
      <c r="J10" s="9">
        <f t="shared" si="3"/>
        <v>107.8981001</v>
      </c>
      <c r="K10" s="17" t="str">
        <f t="shared" si="4"/>
        <v>Cluster-1</v>
      </c>
    </row>
    <row r="11">
      <c r="A11" s="11">
        <v>8563.0</v>
      </c>
      <c r="B11" s="12">
        <v>40.0</v>
      </c>
      <c r="C11" s="12">
        <v>58.0</v>
      </c>
      <c r="D11" s="12">
        <v>78.0</v>
      </c>
      <c r="E11" s="13" t="s">
        <v>22</v>
      </c>
      <c r="F11" s="13" t="s">
        <v>14</v>
      </c>
      <c r="G11" s="12">
        <v>7.0</v>
      </c>
      <c r="H11" s="14">
        <f t="shared" si="5"/>
        <v>60.7289058</v>
      </c>
      <c r="I11" s="15">
        <f t="shared" si="2"/>
        <v>21.63330765</v>
      </c>
      <c r="J11" s="15">
        <f t="shared" si="3"/>
        <v>63.15061362</v>
      </c>
      <c r="K11" s="16" t="str">
        <f t="shared" si="4"/>
        <v>Cluster-2</v>
      </c>
    </row>
    <row r="12">
      <c r="A12" s="5">
        <v>7032.0</v>
      </c>
      <c r="B12" s="6">
        <v>28.0</v>
      </c>
      <c r="C12" s="6">
        <v>149.0</v>
      </c>
      <c r="D12" s="6">
        <v>92.0</v>
      </c>
      <c r="E12" s="7" t="s">
        <v>23</v>
      </c>
      <c r="F12" s="7" t="s">
        <v>12</v>
      </c>
      <c r="G12" s="6">
        <v>1.0</v>
      </c>
      <c r="H12" s="8">
        <f t="shared" si="5"/>
        <v>130.6330739</v>
      </c>
      <c r="I12" s="9">
        <f t="shared" si="2"/>
        <v>85.23496935</v>
      </c>
      <c r="J12" s="9">
        <f t="shared" si="3"/>
        <v>29.06888371</v>
      </c>
      <c r="K12" s="17" t="str">
        <f t="shared" si="4"/>
        <v>Cluster-3</v>
      </c>
    </row>
    <row r="13">
      <c r="A13" s="11">
        <v>4572.0</v>
      </c>
      <c r="B13" s="12">
        <v>28.0</v>
      </c>
      <c r="C13" s="12">
        <v>132.0</v>
      </c>
      <c r="D13" s="12">
        <v>69.0</v>
      </c>
      <c r="E13" s="13" t="s">
        <v>24</v>
      </c>
      <c r="F13" s="13" t="s">
        <v>14</v>
      </c>
      <c r="G13" s="12">
        <v>3.0</v>
      </c>
      <c r="H13" s="14">
        <f t="shared" si="5"/>
        <v>104.2353107</v>
      </c>
      <c r="I13" s="15">
        <f t="shared" si="2"/>
        <v>62.64982043</v>
      </c>
      <c r="J13" s="15">
        <f t="shared" si="3"/>
        <v>24.18677324</v>
      </c>
      <c r="K13" s="16" t="str">
        <f t="shared" si="4"/>
        <v>Cluster-3</v>
      </c>
    </row>
    <row r="14">
      <c r="A14" s="5">
        <v>5511.0</v>
      </c>
      <c r="B14" s="6">
        <v>41.0</v>
      </c>
      <c r="C14" s="6">
        <v>120.0</v>
      </c>
      <c r="D14" s="6">
        <v>47.0</v>
      </c>
      <c r="E14" s="7" t="s">
        <v>25</v>
      </c>
      <c r="F14" s="7" t="s">
        <v>14</v>
      </c>
      <c r="G14" s="6">
        <v>13.0</v>
      </c>
      <c r="H14" s="8">
        <f t="shared" si="5"/>
        <v>84.43340571</v>
      </c>
      <c r="I14" s="9">
        <f t="shared" si="2"/>
        <v>51.66236541</v>
      </c>
      <c r="J14" s="9">
        <f t="shared" si="3"/>
        <v>43</v>
      </c>
      <c r="K14" s="17" t="str">
        <f t="shared" si="4"/>
        <v>Cluster-3</v>
      </c>
    </row>
    <row r="15">
      <c r="A15" s="11">
        <v>3639.0</v>
      </c>
      <c r="B15" s="12">
        <v>53.0</v>
      </c>
      <c r="C15" s="12">
        <v>132.0</v>
      </c>
      <c r="D15" s="12">
        <v>94.0</v>
      </c>
      <c r="E15" s="13" t="s">
        <v>26</v>
      </c>
      <c r="F15" s="13" t="s">
        <v>12</v>
      </c>
      <c r="G15" s="12">
        <v>12.0</v>
      </c>
      <c r="H15" s="14">
        <f t="shared" si="5"/>
        <v>118.0677771</v>
      </c>
      <c r="I15" s="15">
        <f t="shared" si="2"/>
        <v>70.71067812</v>
      </c>
      <c r="J15" s="15">
        <f t="shared" si="3"/>
        <v>12.64911064</v>
      </c>
      <c r="K15" s="16" t="str">
        <f t="shared" si="4"/>
        <v>Cluster-3</v>
      </c>
    </row>
    <row r="16">
      <c r="A16" s="5">
        <v>3930.0</v>
      </c>
      <c r="B16" s="6">
        <v>57.0</v>
      </c>
      <c r="C16" s="6">
        <v>100.0</v>
      </c>
      <c r="D16" s="6">
        <v>62.0</v>
      </c>
      <c r="E16" s="7" t="s">
        <v>27</v>
      </c>
      <c r="F16" s="7" t="s">
        <v>14</v>
      </c>
      <c r="G16" s="6">
        <v>14.0</v>
      </c>
      <c r="H16" s="8">
        <f t="shared" si="5"/>
        <v>73.23933369</v>
      </c>
      <c r="I16" s="9">
        <f t="shared" si="2"/>
        <v>30.06659276</v>
      </c>
      <c r="J16" s="9">
        <f t="shared" si="3"/>
        <v>34.40930107</v>
      </c>
      <c r="K16" s="17" t="str">
        <f t="shared" si="4"/>
        <v>Cluster-2</v>
      </c>
    </row>
    <row r="17">
      <c r="A17" s="11">
        <v>1480.0</v>
      </c>
      <c r="B17" s="12">
        <v>41.0</v>
      </c>
      <c r="C17" s="12">
        <v>132.0</v>
      </c>
      <c r="D17" s="12">
        <v>69.0</v>
      </c>
      <c r="E17" s="13" t="s">
        <v>28</v>
      </c>
      <c r="F17" s="13" t="s">
        <v>14</v>
      </c>
      <c r="G17" s="12">
        <v>9.0</v>
      </c>
      <c r="H17" s="14">
        <f t="shared" si="5"/>
        <v>104.2353107</v>
      </c>
      <c r="I17" s="15">
        <f t="shared" si="2"/>
        <v>62.64982043</v>
      </c>
      <c r="J17" s="15">
        <f t="shared" si="3"/>
        <v>24.18677324</v>
      </c>
      <c r="K17" s="16" t="str">
        <f t="shared" si="4"/>
        <v>Cluster-3</v>
      </c>
    </row>
    <row r="18">
      <c r="A18" s="5">
        <v>4327.0</v>
      </c>
      <c r="B18" s="6">
        <v>20.0</v>
      </c>
      <c r="C18" s="6">
        <v>21.0</v>
      </c>
      <c r="D18" s="6">
        <v>76.0</v>
      </c>
      <c r="E18" s="7" t="s">
        <v>29</v>
      </c>
      <c r="F18" s="7" t="s">
        <v>12</v>
      </c>
      <c r="G18" s="6">
        <v>12.0</v>
      </c>
      <c r="H18" s="8">
        <f t="shared" si="5"/>
        <v>59.13543777</v>
      </c>
      <c r="I18" s="9">
        <f t="shared" si="2"/>
        <v>51.54609588</v>
      </c>
      <c r="J18" s="9">
        <f t="shared" si="3"/>
        <v>99.98499887</v>
      </c>
      <c r="K18" s="17" t="str">
        <f t="shared" si="4"/>
        <v>Cluster-2</v>
      </c>
    </row>
    <row r="19">
      <c r="A19" s="11">
        <v>9882.0</v>
      </c>
      <c r="B19" s="12">
        <v>39.0</v>
      </c>
      <c r="C19" s="12">
        <v>149.0</v>
      </c>
      <c r="D19" s="12">
        <v>16.0</v>
      </c>
      <c r="E19" s="13" t="s">
        <v>30</v>
      </c>
      <c r="F19" s="13" t="s">
        <v>12</v>
      </c>
      <c r="G19" s="12">
        <v>1.0</v>
      </c>
      <c r="H19" s="14">
        <f t="shared" si="5"/>
        <v>109.0733698</v>
      </c>
      <c r="I19" s="15">
        <f t="shared" si="2"/>
        <v>90.42676595</v>
      </c>
      <c r="J19" s="15">
        <f t="shared" si="3"/>
        <v>79.47955712</v>
      </c>
      <c r="K19" s="16" t="str">
        <f t="shared" si="4"/>
        <v>Cluster-3</v>
      </c>
    </row>
    <row r="20">
      <c r="A20" s="5">
        <v>6945.0</v>
      </c>
      <c r="B20" s="6">
        <v>19.0</v>
      </c>
      <c r="C20" s="6">
        <v>73.0</v>
      </c>
      <c r="D20" s="6">
        <v>90.0</v>
      </c>
      <c r="E20" s="7" t="s">
        <v>31</v>
      </c>
      <c r="F20" s="7" t="s">
        <v>14</v>
      </c>
      <c r="G20" s="6">
        <v>9.0</v>
      </c>
      <c r="H20" s="8">
        <f t="shared" si="5"/>
        <v>77.38862966</v>
      </c>
      <c r="I20" s="9">
        <f t="shared" si="2"/>
        <v>30.14962686</v>
      </c>
      <c r="J20" s="9">
        <f t="shared" si="3"/>
        <v>47</v>
      </c>
      <c r="K20" s="17" t="str">
        <f t="shared" si="4"/>
        <v>Cluster-2</v>
      </c>
    </row>
    <row r="21" ht="15.75" customHeight="1">
      <c r="A21" s="11">
        <v>9207.0</v>
      </c>
      <c r="B21" s="12">
        <v>41.0</v>
      </c>
      <c r="C21" s="12">
        <v>106.0</v>
      </c>
      <c r="D21" s="12">
        <v>90.0</v>
      </c>
      <c r="E21" s="13" t="s">
        <v>32</v>
      </c>
      <c r="F21" s="13" t="s">
        <v>12</v>
      </c>
      <c r="G21" s="12">
        <v>8.0</v>
      </c>
      <c r="H21" s="14">
        <f t="shared" si="5"/>
        <v>96.20810777</v>
      </c>
      <c r="I21" s="15">
        <f t="shared" si="2"/>
        <v>46.86149806</v>
      </c>
      <c r="J21" s="15">
        <f t="shared" si="3"/>
        <v>14</v>
      </c>
      <c r="K21" s="16" t="str">
        <f t="shared" si="4"/>
        <v>Cluster-3</v>
      </c>
    </row>
    <row r="22" ht="15.75" customHeight="1">
      <c r="A22" s="5">
        <v>9874.0</v>
      </c>
      <c r="B22" s="6">
        <v>61.0</v>
      </c>
      <c r="C22" s="6">
        <v>148.0</v>
      </c>
      <c r="D22" s="6">
        <v>48.0</v>
      </c>
      <c r="E22" s="7" t="s">
        <v>33</v>
      </c>
      <c r="F22" s="7" t="s">
        <v>14</v>
      </c>
      <c r="G22" s="6">
        <v>1.0</v>
      </c>
      <c r="H22" s="8">
        <f t="shared" si="5"/>
        <v>111.5706054</v>
      </c>
      <c r="I22" s="9">
        <f t="shared" si="2"/>
        <v>78.91767863</v>
      </c>
      <c r="J22" s="9">
        <f t="shared" si="3"/>
        <v>50.47771786</v>
      </c>
      <c r="K22" s="17" t="str">
        <f t="shared" si="4"/>
        <v>Cluster-3</v>
      </c>
    </row>
    <row r="23" ht="15.75" customHeight="1">
      <c r="A23" s="11">
        <v>3198.0</v>
      </c>
      <c r="B23" s="12">
        <v>47.0</v>
      </c>
      <c r="C23" s="12">
        <v>145.0</v>
      </c>
      <c r="D23" s="12">
        <v>85.0</v>
      </c>
      <c r="E23" s="13" t="s">
        <v>34</v>
      </c>
      <c r="F23" s="13" t="s">
        <v>14</v>
      </c>
      <c r="G23" s="12">
        <v>6.0</v>
      </c>
      <c r="H23" s="14">
        <f t="shared" si="5"/>
        <v>123.4908904</v>
      </c>
      <c r="I23" s="15">
        <f t="shared" si="2"/>
        <v>79.0569415</v>
      </c>
      <c r="J23" s="15">
        <f t="shared" si="3"/>
        <v>25.49509757</v>
      </c>
      <c r="K23" s="16" t="str">
        <f t="shared" si="4"/>
        <v>Cluster-3</v>
      </c>
    </row>
    <row r="24" ht="15.75" customHeight="1">
      <c r="A24" s="5">
        <v>6401.0</v>
      </c>
      <c r="B24" s="6">
        <v>55.0</v>
      </c>
      <c r="C24" s="6">
        <v>149.0</v>
      </c>
      <c r="D24" s="6">
        <v>39.0</v>
      </c>
      <c r="E24" s="7" t="s">
        <v>35</v>
      </c>
      <c r="F24" s="7" t="s">
        <v>14</v>
      </c>
      <c r="G24" s="6">
        <v>5.0</v>
      </c>
      <c r="H24" s="8">
        <f t="shared" si="5"/>
        <v>110.6435719</v>
      </c>
      <c r="I24" s="9">
        <f t="shared" si="2"/>
        <v>81.74350127</v>
      </c>
      <c r="J24" s="9">
        <f t="shared" si="3"/>
        <v>58.66856058</v>
      </c>
      <c r="K24" s="17" t="str">
        <f t="shared" si="4"/>
        <v>Cluster-3</v>
      </c>
    </row>
    <row r="25" ht="15.75" customHeight="1">
      <c r="A25" s="11">
        <v>4072.0</v>
      </c>
      <c r="B25" s="12">
        <v>19.0</v>
      </c>
      <c r="C25" s="12">
        <v>72.0</v>
      </c>
      <c r="D25" s="12">
        <v>100.0</v>
      </c>
      <c r="E25" s="13" t="s">
        <v>36</v>
      </c>
      <c r="F25" s="13" t="s">
        <v>14</v>
      </c>
      <c r="G25" s="12">
        <v>6.0</v>
      </c>
      <c r="H25" s="14">
        <f t="shared" si="5"/>
        <v>86.16263691</v>
      </c>
      <c r="I25" s="15">
        <f t="shared" si="2"/>
        <v>40.04996879</v>
      </c>
      <c r="J25" s="15">
        <f t="shared" si="3"/>
        <v>49.03060269</v>
      </c>
      <c r="K25" s="16" t="str">
        <f t="shared" si="4"/>
        <v>Cluster-2</v>
      </c>
    </row>
    <row r="26" ht="15.75" customHeight="1">
      <c r="A26" s="5">
        <v>9294.0</v>
      </c>
      <c r="B26" s="6">
        <v>38.0</v>
      </c>
      <c r="C26" s="6">
        <v>87.0</v>
      </c>
      <c r="D26" s="6">
        <v>33.0</v>
      </c>
      <c r="E26" s="7" t="s">
        <v>37</v>
      </c>
      <c r="F26" s="7" t="s">
        <v>14</v>
      </c>
      <c r="G26" s="6">
        <v>10.0</v>
      </c>
      <c r="H26" s="8">
        <f t="shared" si="5"/>
        <v>48.76474136</v>
      </c>
      <c r="I26" s="9">
        <f t="shared" si="2"/>
        <v>31.90611227</v>
      </c>
      <c r="J26" s="9">
        <f t="shared" si="3"/>
        <v>65.8634952</v>
      </c>
      <c r="K26" s="17" t="str">
        <f t="shared" si="4"/>
        <v>Cluster-2</v>
      </c>
    </row>
    <row r="27" ht="15.75" customHeight="1">
      <c r="A27" s="11">
        <v>1536.0</v>
      </c>
      <c r="B27" s="12">
        <v>50.0</v>
      </c>
      <c r="C27" s="12">
        <v>142.0</v>
      </c>
      <c r="D27" s="12">
        <v>94.0</v>
      </c>
      <c r="E27" s="13" t="s">
        <v>38</v>
      </c>
      <c r="F27" s="13" t="s">
        <v>14</v>
      </c>
      <c r="G27" s="12">
        <v>12.0</v>
      </c>
      <c r="H27" s="14">
        <f t="shared" si="5"/>
        <v>126.015872</v>
      </c>
      <c r="I27" s="15">
        <f t="shared" si="2"/>
        <v>79.62411695</v>
      </c>
      <c r="J27" s="15">
        <f t="shared" si="3"/>
        <v>22.36067977</v>
      </c>
      <c r="K27" s="16" t="str">
        <f t="shared" si="4"/>
        <v>Cluster-3</v>
      </c>
    </row>
    <row r="28" ht="15.75" customHeight="1">
      <c r="A28" s="5">
        <v>1208.0</v>
      </c>
      <c r="B28" s="6">
        <v>29.0</v>
      </c>
      <c r="C28" s="6">
        <v>57.0</v>
      </c>
      <c r="D28" s="6">
        <v>23.0</v>
      </c>
      <c r="E28" s="7" t="s">
        <v>39</v>
      </c>
      <c r="F28" s="7" t="s">
        <v>14</v>
      </c>
      <c r="G28" s="6">
        <v>13.0</v>
      </c>
      <c r="H28" s="8">
        <f t="shared" si="5"/>
        <v>17.2626765</v>
      </c>
      <c r="I28" s="9">
        <f t="shared" si="2"/>
        <v>39.2173431</v>
      </c>
      <c r="J28" s="9">
        <f t="shared" si="3"/>
        <v>91.96738552</v>
      </c>
      <c r="K28" s="17" t="str">
        <f t="shared" si="4"/>
        <v>Cluster-1</v>
      </c>
    </row>
    <row r="29" ht="15.75" customHeight="1">
      <c r="A29" s="11">
        <v>8698.0</v>
      </c>
      <c r="B29" s="12">
        <v>39.0</v>
      </c>
      <c r="C29" s="12">
        <v>43.0</v>
      </c>
      <c r="D29" s="12">
        <v>10.0</v>
      </c>
      <c r="E29" s="13" t="s">
        <v>40</v>
      </c>
      <c r="F29" s="13" t="s">
        <v>12</v>
      </c>
      <c r="G29" s="12">
        <v>13.0</v>
      </c>
      <c r="H29" s="14">
        <f t="shared" si="5"/>
        <v>10.44030651</v>
      </c>
      <c r="I29" s="15">
        <f t="shared" si="2"/>
        <v>56.82429058</v>
      </c>
      <c r="J29" s="15">
        <f t="shared" si="3"/>
        <v>111.0360302</v>
      </c>
      <c r="K29" s="16" t="str">
        <f t="shared" si="4"/>
        <v>Cluster-1</v>
      </c>
    </row>
    <row r="30" ht="15.75" customHeight="1">
      <c r="A30" s="5">
        <v>1127.0</v>
      </c>
      <c r="B30" s="6">
        <v>61.0</v>
      </c>
      <c r="C30" s="6">
        <v>88.0</v>
      </c>
      <c r="D30" s="6">
        <v>69.0</v>
      </c>
      <c r="E30" s="7" t="s">
        <v>41</v>
      </c>
      <c r="F30" s="7" t="s">
        <v>12</v>
      </c>
      <c r="G30" s="6">
        <v>13.0</v>
      </c>
      <c r="H30" s="8">
        <f t="shared" si="5"/>
        <v>68.59300256</v>
      </c>
      <c r="I30" s="9">
        <f t="shared" si="2"/>
        <v>20.1246118</v>
      </c>
      <c r="J30" s="9">
        <f t="shared" si="3"/>
        <v>38.27531842</v>
      </c>
      <c r="K30" s="17" t="str">
        <f t="shared" si="4"/>
        <v>Cluster-2</v>
      </c>
    </row>
    <row r="31" ht="15.75" customHeight="1">
      <c r="A31" s="11">
        <v>6679.0</v>
      </c>
      <c r="B31" s="12">
        <v>42.0</v>
      </c>
      <c r="C31" s="12">
        <v>135.0</v>
      </c>
      <c r="D31" s="12">
        <v>100.0</v>
      </c>
      <c r="E31" s="13" t="s">
        <v>42</v>
      </c>
      <c r="F31" s="13" t="s">
        <v>14</v>
      </c>
      <c r="G31" s="12">
        <v>5.0</v>
      </c>
      <c r="H31" s="14">
        <f t="shared" si="5"/>
        <v>124.1974235</v>
      </c>
      <c r="I31" s="15">
        <f t="shared" si="2"/>
        <v>76.32168761</v>
      </c>
      <c r="J31" s="15">
        <f t="shared" si="3"/>
        <v>18.02775638</v>
      </c>
      <c r="K31" s="16" t="str">
        <f t="shared" si="4"/>
        <v>Cluster-3</v>
      </c>
    </row>
    <row r="32" ht="15.75" customHeight="1">
      <c r="A32" s="5">
        <v>8920.0</v>
      </c>
      <c r="B32" s="6">
        <v>66.0</v>
      </c>
      <c r="C32" s="6">
        <v>117.0</v>
      </c>
      <c r="D32" s="6">
        <v>34.0</v>
      </c>
      <c r="E32" s="7" t="s">
        <v>43</v>
      </c>
      <c r="F32" s="7" t="s">
        <v>14</v>
      </c>
      <c r="G32" s="6">
        <v>6.0</v>
      </c>
      <c r="H32" s="8">
        <f t="shared" si="5"/>
        <v>78.26237921</v>
      </c>
      <c r="I32" s="9">
        <f t="shared" si="2"/>
        <v>53.71219601</v>
      </c>
      <c r="J32" s="9">
        <f t="shared" si="3"/>
        <v>56.08029957</v>
      </c>
      <c r="K32" s="17" t="str">
        <f t="shared" si="4"/>
        <v>Cluster-2</v>
      </c>
    </row>
    <row r="33" ht="15.75" customHeight="1">
      <c r="A33" s="11">
        <v>2865.0</v>
      </c>
      <c r="B33" s="12">
        <v>44.0</v>
      </c>
      <c r="C33" s="12">
        <v>116.0</v>
      </c>
      <c r="D33" s="12">
        <v>52.0</v>
      </c>
      <c r="E33" s="13" t="s">
        <v>44</v>
      </c>
      <c r="F33" s="13" t="s">
        <v>14</v>
      </c>
      <c r="G33" s="12">
        <v>5.0</v>
      </c>
      <c r="H33" s="14">
        <f t="shared" si="5"/>
        <v>82.46211251</v>
      </c>
      <c r="I33" s="15">
        <f t="shared" si="2"/>
        <v>46.69047012</v>
      </c>
      <c r="J33" s="15">
        <f t="shared" si="3"/>
        <v>38.20994635</v>
      </c>
      <c r="K33" s="16" t="str">
        <f t="shared" si="4"/>
        <v>Cluster-3</v>
      </c>
    </row>
    <row r="34" ht="15.75" customHeight="1">
      <c r="A34" s="5">
        <v>2158.0</v>
      </c>
      <c r="B34" s="6">
        <v>59.0</v>
      </c>
      <c r="C34" s="6">
        <v>143.0</v>
      </c>
      <c r="D34" s="6">
        <v>95.0</v>
      </c>
      <c r="E34" s="7" t="s">
        <v>45</v>
      </c>
      <c r="F34" s="7" t="s">
        <v>14</v>
      </c>
      <c r="G34" s="6">
        <v>11.0</v>
      </c>
      <c r="H34" s="8">
        <f t="shared" si="5"/>
        <v>127.4127152</v>
      </c>
      <c r="I34" s="9">
        <f t="shared" si="2"/>
        <v>80.95677859</v>
      </c>
      <c r="J34" s="9">
        <f t="shared" si="3"/>
        <v>23.53720459</v>
      </c>
      <c r="K34" s="17" t="str">
        <f t="shared" si="4"/>
        <v>Cluster-3</v>
      </c>
    </row>
    <row r="35" ht="15.75" customHeight="1">
      <c r="A35" s="11">
        <v>5052.0</v>
      </c>
      <c r="B35" s="12">
        <v>45.0</v>
      </c>
      <c r="C35" s="12">
        <v>89.0</v>
      </c>
      <c r="D35" s="12">
        <v>10.0</v>
      </c>
      <c r="E35" s="13" t="s">
        <v>46</v>
      </c>
      <c r="F35" s="13" t="s">
        <v>12</v>
      </c>
      <c r="G35" s="12">
        <v>12.0</v>
      </c>
      <c r="H35" s="14">
        <f t="shared" si="5"/>
        <v>50.009999</v>
      </c>
      <c r="I35" s="15">
        <f t="shared" si="2"/>
        <v>53.48831648</v>
      </c>
      <c r="J35" s="15">
        <f t="shared" si="3"/>
        <v>85.79627032</v>
      </c>
      <c r="K35" s="16" t="str">
        <f t="shared" si="4"/>
        <v>Cluster-1</v>
      </c>
    </row>
    <row r="36" ht="15.75" customHeight="1">
      <c r="A36" s="5">
        <v>4706.0</v>
      </c>
      <c r="B36" s="6">
        <v>33.0</v>
      </c>
      <c r="C36" s="6">
        <v>112.0</v>
      </c>
      <c r="D36" s="6">
        <v>19.0</v>
      </c>
      <c r="E36" s="7" t="s">
        <v>47</v>
      </c>
      <c r="F36" s="7" t="s">
        <v>14</v>
      </c>
      <c r="G36" s="6">
        <v>5.0</v>
      </c>
      <c r="H36" s="8">
        <f t="shared" si="5"/>
        <v>72.00694411</v>
      </c>
      <c r="I36" s="9">
        <f t="shared" si="2"/>
        <v>58.69412236</v>
      </c>
      <c r="J36" s="9">
        <f t="shared" si="3"/>
        <v>71.44928271</v>
      </c>
      <c r="K36" s="17" t="str">
        <f t="shared" si="4"/>
        <v>Cluster-2</v>
      </c>
    </row>
    <row r="37" ht="15.75" customHeight="1">
      <c r="A37" s="11">
        <v>5875.0</v>
      </c>
      <c r="B37" s="12">
        <v>32.0</v>
      </c>
      <c r="C37" s="12">
        <v>22.0</v>
      </c>
      <c r="D37" s="12">
        <v>58.0</v>
      </c>
      <c r="E37" s="13" t="s">
        <v>48</v>
      </c>
      <c r="F37" s="13" t="s">
        <v>12</v>
      </c>
      <c r="G37" s="12">
        <v>4.0</v>
      </c>
      <c r="H37" s="14">
        <f t="shared" si="5"/>
        <v>42.04759208</v>
      </c>
      <c r="I37" s="15">
        <f t="shared" si="2"/>
        <v>48.0416486</v>
      </c>
      <c r="J37" s="15">
        <f t="shared" si="3"/>
        <v>103.0921918</v>
      </c>
      <c r="K37" s="16" t="str">
        <f t="shared" si="4"/>
        <v>Cluster-1</v>
      </c>
    </row>
    <row r="38" ht="15.75" customHeight="1">
      <c r="A38" s="5">
        <v>7547.0</v>
      </c>
      <c r="B38" s="6">
        <v>64.0</v>
      </c>
      <c r="C38" s="6">
        <v>109.0</v>
      </c>
      <c r="D38" s="6">
        <v>96.0</v>
      </c>
      <c r="E38" s="7" t="s">
        <v>49</v>
      </c>
      <c r="F38" s="7" t="s">
        <v>14</v>
      </c>
      <c r="G38" s="6">
        <v>3.0</v>
      </c>
      <c r="H38" s="8">
        <f t="shared" si="5"/>
        <v>102.6498904</v>
      </c>
      <c r="I38" s="9">
        <f t="shared" si="2"/>
        <v>53.07541804</v>
      </c>
      <c r="J38" s="9">
        <f t="shared" si="3"/>
        <v>12.52996409</v>
      </c>
      <c r="K38" s="17" t="str">
        <f t="shared" si="4"/>
        <v>Cluster-3</v>
      </c>
    </row>
    <row r="39" ht="15.75" customHeight="1">
      <c r="A39" s="11">
        <v>2095.0</v>
      </c>
      <c r="B39" s="12">
        <v>68.0</v>
      </c>
      <c r="C39" s="12">
        <v>115.0</v>
      </c>
      <c r="D39" s="12">
        <v>1.0</v>
      </c>
      <c r="E39" s="13" t="s">
        <v>50</v>
      </c>
      <c r="F39" s="13" t="s">
        <v>12</v>
      </c>
      <c r="G39" s="12">
        <v>3.0</v>
      </c>
      <c r="H39" s="14">
        <f t="shared" si="5"/>
        <v>77.36924454</v>
      </c>
      <c r="I39" s="15">
        <f t="shared" si="2"/>
        <v>74.20242584</v>
      </c>
      <c r="J39" s="15">
        <f t="shared" si="3"/>
        <v>89.14033879</v>
      </c>
      <c r="K39" s="16" t="str">
        <f t="shared" si="4"/>
        <v>Cluster-2</v>
      </c>
    </row>
    <row r="40" ht="15.75" customHeight="1">
      <c r="A40" s="5">
        <v>6438.0</v>
      </c>
      <c r="B40" s="6">
        <v>61.0</v>
      </c>
      <c r="C40" s="6">
        <v>71.0</v>
      </c>
      <c r="D40" s="6">
        <v>69.0</v>
      </c>
      <c r="E40" s="7" t="s">
        <v>51</v>
      </c>
      <c r="F40" s="7" t="s">
        <v>12</v>
      </c>
      <c r="G40" s="6">
        <v>4.0</v>
      </c>
      <c r="H40" s="8">
        <f t="shared" si="5"/>
        <v>57.98275606</v>
      </c>
      <c r="I40" s="9">
        <f t="shared" si="2"/>
        <v>9.055385138</v>
      </c>
      <c r="J40" s="9">
        <f t="shared" si="3"/>
        <v>53.31041174</v>
      </c>
      <c r="K40" s="17" t="str">
        <f t="shared" si="4"/>
        <v>Cluster-2</v>
      </c>
    </row>
    <row r="41" ht="15.75" customHeight="1">
      <c r="A41" s="11">
        <v>7028.0</v>
      </c>
      <c r="B41" s="12">
        <v>69.0</v>
      </c>
      <c r="C41" s="12">
        <v>147.0</v>
      </c>
      <c r="D41" s="12">
        <v>4.0</v>
      </c>
      <c r="E41" s="13" t="s">
        <v>52</v>
      </c>
      <c r="F41" s="13" t="s">
        <v>14</v>
      </c>
      <c r="G41" s="12">
        <v>9.0</v>
      </c>
      <c r="H41" s="14">
        <f t="shared" si="5"/>
        <v>108.1896483</v>
      </c>
      <c r="I41" s="15">
        <f t="shared" si="2"/>
        <v>95.21029356</v>
      </c>
      <c r="J41" s="15">
        <f t="shared" si="3"/>
        <v>90.13878189</v>
      </c>
      <c r="K41" s="16" t="str">
        <f t="shared" si="4"/>
        <v>Cluster-3</v>
      </c>
    </row>
    <row r="42" ht="15.75" customHeight="1">
      <c r="A42" s="5">
        <v>4771.0</v>
      </c>
      <c r="B42" s="6">
        <v>20.0</v>
      </c>
      <c r="C42" s="6">
        <v>58.0</v>
      </c>
      <c r="D42" s="6">
        <v>16.0</v>
      </c>
      <c r="E42" s="7" t="s">
        <v>53</v>
      </c>
      <c r="F42" s="7" t="s">
        <v>12</v>
      </c>
      <c r="G42" s="6">
        <v>2.0</v>
      </c>
      <c r="H42" s="8">
        <f t="shared" si="5"/>
        <v>18.43908891</v>
      </c>
      <c r="I42" s="9">
        <f t="shared" si="2"/>
        <v>45.607017</v>
      </c>
      <c r="J42" s="9">
        <f t="shared" si="3"/>
        <v>96.54014709</v>
      </c>
      <c r="K42" s="17" t="str">
        <f t="shared" si="4"/>
        <v>Cluster-1</v>
      </c>
    </row>
    <row r="43" ht="15.75" customHeight="1">
      <c r="A43" s="11">
        <v>3286.0</v>
      </c>
      <c r="B43" s="12">
        <v>54.0</v>
      </c>
      <c r="C43" s="12">
        <v>101.0</v>
      </c>
      <c r="D43" s="12">
        <v>24.0</v>
      </c>
      <c r="E43" s="13" t="s">
        <v>54</v>
      </c>
      <c r="F43" s="13" t="s">
        <v>12</v>
      </c>
      <c r="G43" s="12">
        <v>9.0</v>
      </c>
      <c r="H43" s="14">
        <f t="shared" si="5"/>
        <v>61.13100686</v>
      </c>
      <c r="I43" s="15">
        <f t="shared" si="2"/>
        <v>47.50789408</v>
      </c>
      <c r="J43" s="15">
        <f t="shared" si="3"/>
        <v>68.68041933</v>
      </c>
      <c r="K43" s="16" t="str">
        <f t="shared" si="4"/>
        <v>Cluster-2</v>
      </c>
    </row>
    <row r="44" ht="15.75" customHeight="1">
      <c r="A44" s="5">
        <v>4841.0</v>
      </c>
      <c r="B44" s="6">
        <v>68.0</v>
      </c>
      <c r="C44" s="6">
        <v>123.0</v>
      </c>
      <c r="D44" s="6">
        <v>80.0</v>
      </c>
      <c r="E44" s="7" t="s">
        <v>55</v>
      </c>
      <c r="F44" s="7" t="s">
        <v>12</v>
      </c>
      <c r="G44" s="6">
        <v>1.0</v>
      </c>
      <c r="H44" s="8">
        <f t="shared" si="5"/>
        <v>102.4158191</v>
      </c>
      <c r="I44" s="9">
        <f t="shared" si="2"/>
        <v>56.64803615</v>
      </c>
      <c r="J44" s="9">
        <f t="shared" si="3"/>
        <v>10.44030651</v>
      </c>
      <c r="K44" s="17" t="str">
        <f t="shared" si="4"/>
        <v>Cluster-3</v>
      </c>
    </row>
    <row r="45" ht="15.75" customHeight="1">
      <c r="A45" s="11">
        <v>3943.0</v>
      </c>
      <c r="B45" s="12">
        <v>24.0</v>
      </c>
      <c r="C45" s="12">
        <v>148.0</v>
      </c>
      <c r="D45" s="12">
        <v>2.0</v>
      </c>
      <c r="E45" s="13" t="s">
        <v>56</v>
      </c>
      <c r="F45" s="13" t="s">
        <v>14</v>
      </c>
      <c r="G45" s="12">
        <v>14.0</v>
      </c>
      <c r="H45" s="14">
        <f t="shared" si="5"/>
        <v>109.4897255</v>
      </c>
      <c r="I45" s="15">
        <f t="shared" si="2"/>
        <v>97.20082304</v>
      </c>
      <c r="J45" s="15">
        <f t="shared" si="3"/>
        <v>92.34717104</v>
      </c>
      <c r="K45" s="16" t="str">
        <f t="shared" si="4"/>
        <v>Cluster-3</v>
      </c>
    </row>
    <row r="46" ht="15.75" customHeight="1">
      <c r="A46" s="5">
        <v>8954.0</v>
      </c>
      <c r="B46" s="6">
        <v>38.0</v>
      </c>
      <c r="C46" s="6">
        <v>30.0</v>
      </c>
      <c r="D46" s="6">
        <v>92.0</v>
      </c>
      <c r="E46" s="7" t="s">
        <v>57</v>
      </c>
      <c r="F46" s="7" t="s">
        <v>14</v>
      </c>
      <c r="G46" s="6">
        <v>1.0</v>
      </c>
      <c r="H46" s="8">
        <f t="shared" si="5"/>
        <v>72.69112738</v>
      </c>
      <c r="I46" s="9">
        <f t="shared" si="2"/>
        <v>51.2249939</v>
      </c>
      <c r="J46" s="9">
        <f t="shared" si="3"/>
        <v>90.02221948</v>
      </c>
      <c r="K46" s="17" t="str">
        <f t="shared" si="4"/>
        <v>Cluster-2</v>
      </c>
    </row>
    <row r="47" ht="15.75" customHeight="1">
      <c r="A47" s="11">
        <v>6690.0</v>
      </c>
      <c r="B47" s="12">
        <v>26.0</v>
      </c>
      <c r="C47" s="12">
        <v>61.0</v>
      </c>
      <c r="D47" s="12">
        <v>32.0</v>
      </c>
      <c r="E47" s="13" t="s">
        <v>58</v>
      </c>
      <c r="F47" s="13" t="s">
        <v>12</v>
      </c>
      <c r="G47" s="12">
        <v>5.0</v>
      </c>
      <c r="H47" s="14">
        <f t="shared" si="5"/>
        <v>24.18677324</v>
      </c>
      <c r="I47" s="15">
        <f t="shared" si="2"/>
        <v>29.41088234</v>
      </c>
      <c r="J47" s="15">
        <f t="shared" si="3"/>
        <v>82.73451517</v>
      </c>
      <c r="K47" s="16" t="str">
        <f t="shared" si="4"/>
        <v>Cluster-1</v>
      </c>
    </row>
    <row r="48" ht="15.75" customHeight="1">
      <c r="A48" s="5">
        <v>9007.0</v>
      </c>
      <c r="B48" s="6">
        <v>56.0</v>
      </c>
      <c r="C48" s="6">
        <v>118.0</v>
      </c>
      <c r="D48" s="6">
        <v>91.0</v>
      </c>
      <c r="E48" s="7" t="s">
        <v>59</v>
      </c>
      <c r="F48" s="7" t="s">
        <v>12</v>
      </c>
      <c r="G48" s="6">
        <v>6.0</v>
      </c>
      <c r="H48" s="8">
        <f t="shared" si="5"/>
        <v>105.4751155</v>
      </c>
      <c r="I48" s="9">
        <f t="shared" si="2"/>
        <v>57.14017851</v>
      </c>
      <c r="J48" s="9">
        <f t="shared" si="3"/>
        <v>2.236067977</v>
      </c>
      <c r="K48" s="17" t="str">
        <f t="shared" si="4"/>
        <v>Cluster-3</v>
      </c>
    </row>
    <row r="49" ht="15.75" customHeight="1">
      <c r="A49" s="11">
        <v>8252.0</v>
      </c>
      <c r="B49" s="12">
        <v>35.0</v>
      </c>
      <c r="C49" s="12">
        <v>26.0</v>
      </c>
      <c r="D49" s="12">
        <v>84.0</v>
      </c>
      <c r="E49" s="13" t="s">
        <v>60</v>
      </c>
      <c r="F49" s="13" t="s">
        <v>12</v>
      </c>
      <c r="G49" s="12">
        <v>6.0</v>
      </c>
      <c r="H49" s="14">
        <f t="shared" si="5"/>
        <v>65.51335742</v>
      </c>
      <c r="I49" s="15">
        <f t="shared" si="2"/>
        <v>50.11985634</v>
      </c>
      <c r="J49" s="15">
        <f t="shared" si="3"/>
        <v>94.19129471</v>
      </c>
      <c r="K49" s="16" t="str">
        <f t="shared" si="4"/>
        <v>Cluster-2</v>
      </c>
    </row>
    <row r="50" ht="15.75" customHeight="1">
      <c r="A50" s="5">
        <v>8886.0</v>
      </c>
      <c r="B50" s="6">
        <v>21.0</v>
      </c>
      <c r="C50" s="6">
        <v>109.0</v>
      </c>
      <c r="D50" s="6">
        <v>24.0</v>
      </c>
      <c r="E50" s="7" t="s">
        <v>61</v>
      </c>
      <c r="F50" s="7" t="s">
        <v>14</v>
      </c>
      <c r="G50" s="6">
        <v>3.0</v>
      </c>
      <c r="H50" s="8">
        <f t="shared" si="5"/>
        <v>69.11584478</v>
      </c>
      <c r="I50" s="9">
        <f t="shared" si="2"/>
        <v>53.07541804</v>
      </c>
      <c r="J50" s="9">
        <f t="shared" si="3"/>
        <v>66.91038783</v>
      </c>
      <c r="K50" s="17" t="str">
        <f t="shared" si="4"/>
        <v>Cluster-2</v>
      </c>
    </row>
    <row r="51" ht="15.75" customHeight="1">
      <c r="A51" s="11">
        <v>8106.0</v>
      </c>
      <c r="B51" s="12">
        <v>42.0</v>
      </c>
      <c r="C51" s="12">
        <v>131.0</v>
      </c>
      <c r="D51" s="12">
        <v>12.0</v>
      </c>
      <c r="E51" s="13" t="s">
        <v>62</v>
      </c>
      <c r="F51" s="13" t="s">
        <v>14</v>
      </c>
      <c r="G51" s="12">
        <v>7.0</v>
      </c>
      <c r="H51" s="14">
        <f t="shared" si="5"/>
        <v>91.35097153</v>
      </c>
      <c r="I51" s="15">
        <f t="shared" si="2"/>
        <v>77.62087348</v>
      </c>
      <c r="J51" s="15">
        <f t="shared" si="3"/>
        <v>78.77182237</v>
      </c>
      <c r="K51" s="16" t="str">
        <f t="shared" si="4"/>
        <v>Cluster-2</v>
      </c>
    </row>
    <row r="52" ht="15.75" customHeight="1">
      <c r="A52" s="5">
        <v>4190.0</v>
      </c>
      <c r="B52" s="6">
        <v>31.0</v>
      </c>
      <c r="C52" s="6">
        <v>79.0</v>
      </c>
      <c r="D52" s="6">
        <v>50.0</v>
      </c>
      <c r="E52" s="7" t="s">
        <v>63</v>
      </c>
      <c r="F52" s="7" t="s">
        <v>12</v>
      </c>
      <c r="G52" s="6">
        <v>9.0</v>
      </c>
      <c r="H52" s="8">
        <f t="shared" si="5"/>
        <v>49.2036584</v>
      </c>
      <c r="I52" s="9">
        <f t="shared" si="2"/>
        <v>13.45362405</v>
      </c>
      <c r="J52" s="9">
        <f t="shared" si="3"/>
        <v>57.28001397</v>
      </c>
      <c r="K52" s="17" t="str">
        <f t="shared" si="4"/>
        <v>Cluster-2</v>
      </c>
    </row>
    <row r="53" ht="15.75" customHeight="1">
      <c r="A53" s="11">
        <v>5088.0</v>
      </c>
      <c r="B53" s="12">
        <v>67.0</v>
      </c>
      <c r="C53" s="12">
        <v>132.0</v>
      </c>
      <c r="D53" s="12">
        <v>35.0</v>
      </c>
      <c r="E53" s="13" t="s">
        <v>64</v>
      </c>
      <c r="F53" s="13" t="s">
        <v>12</v>
      </c>
      <c r="G53" s="12">
        <v>11.0</v>
      </c>
      <c r="H53" s="14">
        <f t="shared" si="5"/>
        <v>93.21480569</v>
      </c>
      <c r="I53" s="15">
        <f t="shared" si="2"/>
        <v>66.85057965</v>
      </c>
      <c r="J53" s="15">
        <f t="shared" si="3"/>
        <v>56.29387178</v>
      </c>
      <c r="K53" s="16" t="str">
        <f t="shared" si="4"/>
        <v>Cluster-3</v>
      </c>
    </row>
    <row r="54" ht="15.75" customHeight="1">
      <c r="A54" s="5">
        <v>1295.0</v>
      </c>
      <c r="B54" s="6">
        <v>26.0</v>
      </c>
      <c r="C54" s="6">
        <v>21.0</v>
      </c>
      <c r="D54" s="6">
        <v>33.0</v>
      </c>
      <c r="E54" s="7" t="s">
        <v>65</v>
      </c>
      <c r="F54" s="7" t="s">
        <v>14</v>
      </c>
      <c r="G54" s="6">
        <v>12.0</v>
      </c>
      <c r="H54" s="8">
        <f t="shared" si="5"/>
        <v>23.02172887</v>
      </c>
      <c r="I54" s="9">
        <f t="shared" si="2"/>
        <v>55.94640292</v>
      </c>
      <c r="J54" s="9">
        <f t="shared" si="3"/>
        <v>114.2365966</v>
      </c>
      <c r="K54" s="17" t="str">
        <f t="shared" si="4"/>
        <v>Cluster-1</v>
      </c>
    </row>
    <row r="55" ht="15.75" customHeight="1">
      <c r="A55" s="11">
        <v>9674.0</v>
      </c>
      <c r="B55" s="12">
        <v>43.0</v>
      </c>
      <c r="C55" s="12">
        <v>148.0</v>
      </c>
      <c r="D55" s="12">
        <v>33.0</v>
      </c>
      <c r="E55" s="13" t="s">
        <v>66</v>
      </c>
      <c r="F55" s="13" t="s">
        <v>14</v>
      </c>
      <c r="G55" s="12">
        <v>10.0</v>
      </c>
      <c r="H55" s="14">
        <f t="shared" si="5"/>
        <v>108.7795937</v>
      </c>
      <c r="I55" s="15">
        <f t="shared" si="2"/>
        <v>82.54089895</v>
      </c>
      <c r="J55" s="15">
        <f t="shared" si="3"/>
        <v>63.50590524</v>
      </c>
      <c r="K55" s="16" t="str">
        <f t="shared" si="4"/>
        <v>Cluster-3</v>
      </c>
    </row>
    <row r="56" ht="15.75" customHeight="1">
      <c r="A56" s="5">
        <v>2254.0</v>
      </c>
      <c r="B56" s="6">
        <v>19.0</v>
      </c>
      <c r="C56" s="6">
        <v>67.0</v>
      </c>
      <c r="D56" s="6">
        <v>61.0</v>
      </c>
      <c r="E56" s="7" t="s">
        <v>67</v>
      </c>
      <c r="F56" s="7" t="s">
        <v>14</v>
      </c>
      <c r="G56" s="6">
        <v>8.0</v>
      </c>
      <c r="H56" s="8">
        <f t="shared" si="5"/>
        <v>49.09175083</v>
      </c>
      <c r="I56" s="9">
        <f t="shared" si="2"/>
        <v>3.16227766</v>
      </c>
      <c r="J56" s="9">
        <f t="shared" si="3"/>
        <v>60.41522987</v>
      </c>
      <c r="K56" s="17" t="str">
        <f t="shared" si="4"/>
        <v>Cluster-2</v>
      </c>
    </row>
    <row r="57" ht="15.75" customHeight="1">
      <c r="A57" s="11">
        <v>7459.0</v>
      </c>
      <c r="B57" s="12">
        <v>37.0</v>
      </c>
      <c r="C57" s="12">
        <v>56.0</v>
      </c>
      <c r="D57" s="12">
        <v>51.0</v>
      </c>
      <c r="E57" s="13" t="s">
        <v>68</v>
      </c>
      <c r="F57" s="13" t="s">
        <v>14</v>
      </c>
      <c r="G57" s="12">
        <v>6.0</v>
      </c>
      <c r="H57" s="14">
        <f t="shared" si="5"/>
        <v>34.88552709</v>
      </c>
      <c r="I57" s="15">
        <f t="shared" si="2"/>
        <v>16.64331698</v>
      </c>
      <c r="J57" s="15">
        <f t="shared" si="3"/>
        <v>74.94664769</v>
      </c>
      <c r="K57" s="16" t="str">
        <f t="shared" si="4"/>
        <v>Cluster-2</v>
      </c>
    </row>
    <row r="58" ht="15.75" customHeight="1">
      <c r="A58" s="5">
        <v>1571.0</v>
      </c>
      <c r="B58" s="6">
        <v>45.0</v>
      </c>
      <c r="C58" s="6">
        <v>28.0</v>
      </c>
      <c r="D58" s="6">
        <v>43.0</v>
      </c>
      <c r="E58" s="7" t="s">
        <v>69</v>
      </c>
      <c r="F58" s="7" t="s">
        <v>14</v>
      </c>
      <c r="G58" s="6">
        <v>12.0</v>
      </c>
      <c r="H58" s="8">
        <f t="shared" si="5"/>
        <v>25.94224354</v>
      </c>
      <c r="I58" s="9">
        <f t="shared" si="2"/>
        <v>45.31004304</v>
      </c>
      <c r="J58" s="9">
        <f t="shared" si="3"/>
        <v>103.3102125</v>
      </c>
      <c r="K58" s="17" t="str">
        <f t="shared" si="4"/>
        <v>Cluster-1</v>
      </c>
    </row>
    <row r="59" ht="15.75" customHeight="1">
      <c r="A59" s="11">
        <v>1012.0</v>
      </c>
      <c r="B59" s="12">
        <v>64.0</v>
      </c>
      <c r="C59" s="12">
        <v>118.0</v>
      </c>
      <c r="D59" s="12">
        <v>12.0</v>
      </c>
      <c r="E59" s="13" t="s">
        <v>70</v>
      </c>
      <c r="F59" s="13" t="s">
        <v>12</v>
      </c>
      <c r="G59" s="12">
        <v>8.0</v>
      </c>
      <c r="H59" s="14">
        <f t="shared" si="5"/>
        <v>78.40918314</v>
      </c>
      <c r="I59" s="15">
        <f t="shared" si="2"/>
        <v>67.88225099</v>
      </c>
      <c r="J59" s="15">
        <f t="shared" si="3"/>
        <v>78.02563681</v>
      </c>
      <c r="K59" s="16" t="str">
        <f t="shared" si="4"/>
        <v>Cluster-2</v>
      </c>
    </row>
    <row r="60" ht="15.75" customHeight="1">
      <c r="A60" s="5">
        <v>8841.0</v>
      </c>
      <c r="B60" s="6">
        <v>24.0</v>
      </c>
      <c r="C60" s="6">
        <v>67.0</v>
      </c>
      <c r="D60" s="6">
        <v>67.0</v>
      </c>
      <c r="E60" s="7" t="s">
        <v>71</v>
      </c>
      <c r="F60" s="7" t="s">
        <v>12</v>
      </c>
      <c r="G60" s="6">
        <v>12.0</v>
      </c>
      <c r="H60" s="8">
        <f t="shared" si="5"/>
        <v>54.20332093</v>
      </c>
      <c r="I60" s="9">
        <f t="shared" si="2"/>
        <v>7.615773106</v>
      </c>
      <c r="J60" s="9">
        <f t="shared" si="3"/>
        <v>57.7754273</v>
      </c>
      <c r="K60" s="17" t="str">
        <f t="shared" si="4"/>
        <v>Cluster-2</v>
      </c>
    </row>
    <row r="61" ht="15.75" customHeight="1">
      <c r="A61" s="11">
        <v>9074.0</v>
      </c>
      <c r="B61" s="12">
        <v>61.0</v>
      </c>
      <c r="C61" s="12">
        <v>73.0</v>
      </c>
      <c r="D61" s="12">
        <v>65.0</v>
      </c>
      <c r="E61" s="13" t="s">
        <v>72</v>
      </c>
      <c r="F61" s="13" t="s">
        <v>12</v>
      </c>
      <c r="G61" s="12">
        <v>5.0</v>
      </c>
      <c r="H61" s="14">
        <f t="shared" si="5"/>
        <v>55.80322571</v>
      </c>
      <c r="I61" s="15">
        <f t="shared" si="2"/>
        <v>5.830951895</v>
      </c>
      <c r="J61" s="15">
        <f t="shared" si="3"/>
        <v>53.23532662</v>
      </c>
      <c r="K61" s="16" t="str">
        <f t="shared" si="4"/>
        <v>Cluster-2</v>
      </c>
    </row>
    <row r="62" ht="15.75" customHeight="1">
      <c r="A62" s="5">
        <v>3940.0</v>
      </c>
      <c r="B62" s="6">
        <v>25.0</v>
      </c>
      <c r="C62" s="6">
        <v>139.0</v>
      </c>
      <c r="D62" s="6">
        <v>33.0</v>
      </c>
      <c r="E62" s="7" t="s">
        <v>73</v>
      </c>
      <c r="F62" s="7" t="s">
        <v>14</v>
      </c>
      <c r="G62" s="6">
        <v>8.0</v>
      </c>
      <c r="H62" s="8">
        <f t="shared" si="5"/>
        <v>99.84988733</v>
      </c>
      <c r="I62" s="9">
        <f t="shared" si="2"/>
        <v>74.09453421</v>
      </c>
      <c r="J62" s="9">
        <f t="shared" si="3"/>
        <v>60.08327554</v>
      </c>
      <c r="K62" s="17" t="str">
        <f t="shared" si="4"/>
        <v>Cluster-3</v>
      </c>
    </row>
    <row r="63" ht="15.75" customHeight="1">
      <c r="A63" s="11">
        <v>2275.0</v>
      </c>
      <c r="B63" s="12">
        <v>64.0</v>
      </c>
      <c r="C63" s="12">
        <v>135.0</v>
      </c>
      <c r="D63" s="12">
        <v>40.0</v>
      </c>
      <c r="E63" s="13" t="s">
        <v>74</v>
      </c>
      <c r="F63" s="13" t="s">
        <v>14</v>
      </c>
      <c r="G63" s="12">
        <v>10.0</v>
      </c>
      <c r="H63" s="14">
        <f t="shared" si="5"/>
        <v>97.08243919</v>
      </c>
      <c r="I63" s="15">
        <f t="shared" si="2"/>
        <v>68.00735254</v>
      </c>
      <c r="J63" s="15">
        <f t="shared" si="3"/>
        <v>52.20153254</v>
      </c>
      <c r="K63" s="16" t="str">
        <f t="shared" si="4"/>
        <v>Cluster-3</v>
      </c>
    </row>
    <row r="64" ht="15.75" customHeight="1">
      <c r="A64" s="5">
        <v>6066.0</v>
      </c>
      <c r="B64" s="6">
        <v>52.0</v>
      </c>
      <c r="C64" s="6">
        <v>94.0</v>
      </c>
      <c r="D64" s="6">
        <v>74.0</v>
      </c>
      <c r="E64" s="7" t="s">
        <v>75</v>
      </c>
      <c r="F64" s="7" t="s">
        <v>12</v>
      </c>
      <c r="G64" s="6">
        <v>12.0</v>
      </c>
      <c r="H64" s="8">
        <f t="shared" si="5"/>
        <v>76.36753237</v>
      </c>
      <c r="I64" s="9">
        <f t="shared" si="2"/>
        <v>27.78488798</v>
      </c>
      <c r="J64" s="9">
        <f t="shared" si="3"/>
        <v>30.52867504</v>
      </c>
      <c r="K64" s="17" t="str">
        <f t="shared" si="4"/>
        <v>Cluster-2</v>
      </c>
    </row>
    <row r="65" ht="15.75" customHeight="1">
      <c r="A65" s="11">
        <v>9999.0</v>
      </c>
      <c r="B65" s="12">
        <v>31.0</v>
      </c>
      <c r="C65" s="12">
        <v>132.0</v>
      </c>
      <c r="D65" s="12">
        <v>43.0</v>
      </c>
      <c r="E65" s="13" t="s">
        <v>76</v>
      </c>
      <c r="F65" s="13" t="s">
        <v>14</v>
      </c>
      <c r="G65" s="12">
        <v>4.0</v>
      </c>
      <c r="H65" s="14">
        <f t="shared" si="5"/>
        <v>94.83142939</v>
      </c>
      <c r="I65" s="15">
        <f t="shared" si="2"/>
        <v>64.28841264</v>
      </c>
      <c r="J65" s="15">
        <f t="shared" si="3"/>
        <v>48.50773134</v>
      </c>
      <c r="K65" s="16" t="str">
        <f t="shared" si="4"/>
        <v>Cluster-3</v>
      </c>
    </row>
    <row r="66" ht="15.75" customHeight="1">
      <c r="A66" s="5">
        <v>7157.0</v>
      </c>
      <c r="B66" s="6">
        <v>34.0</v>
      </c>
      <c r="C66" s="6">
        <v>123.0</v>
      </c>
      <c r="D66" s="6">
        <v>44.0</v>
      </c>
      <c r="E66" s="7" t="s">
        <v>77</v>
      </c>
      <c r="F66" s="7" t="s">
        <v>12</v>
      </c>
      <c r="G66" s="6">
        <v>10.0</v>
      </c>
      <c r="H66" s="8">
        <f t="shared" si="5"/>
        <v>86.40023148</v>
      </c>
      <c r="I66" s="9">
        <f t="shared" si="2"/>
        <v>55.36244214</v>
      </c>
      <c r="J66" s="9">
        <f t="shared" si="3"/>
        <v>46.09772229</v>
      </c>
      <c r="K66" s="17" t="str">
        <f t="shared" si="4"/>
        <v>Cluster-3</v>
      </c>
    </row>
    <row r="67" ht="15.75" customHeight="1">
      <c r="A67" s="11">
        <v>8590.0</v>
      </c>
      <c r="B67" s="12">
        <v>53.0</v>
      </c>
      <c r="C67" s="12">
        <v>103.0</v>
      </c>
      <c r="D67" s="12">
        <v>29.0</v>
      </c>
      <c r="E67" s="13" t="s">
        <v>78</v>
      </c>
      <c r="F67" s="13" t="s">
        <v>14</v>
      </c>
      <c r="G67" s="12">
        <v>8.0</v>
      </c>
      <c r="H67" s="14">
        <f t="shared" si="5"/>
        <v>63.63961031</v>
      </c>
      <c r="I67" s="15">
        <f t="shared" si="2"/>
        <v>45.27692569</v>
      </c>
      <c r="J67" s="15">
        <f t="shared" si="3"/>
        <v>63.3245608</v>
      </c>
      <c r="K67" s="16" t="str">
        <f t="shared" si="4"/>
        <v>Cluster-2</v>
      </c>
    </row>
    <row r="68" ht="15.75" customHeight="1">
      <c r="A68" s="5">
        <v>2999.0</v>
      </c>
      <c r="B68" s="6">
        <v>67.0</v>
      </c>
      <c r="C68" s="6">
        <v>131.0</v>
      </c>
      <c r="D68" s="6">
        <v>13.0</v>
      </c>
      <c r="E68" s="7" t="s">
        <v>79</v>
      </c>
      <c r="F68" s="7" t="s">
        <v>12</v>
      </c>
      <c r="G68" s="6">
        <v>10.0</v>
      </c>
      <c r="H68" s="8">
        <f t="shared" si="5"/>
        <v>91.26883367</v>
      </c>
      <c r="I68" s="9">
        <f t="shared" si="2"/>
        <v>77.00649323</v>
      </c>
      <c r="J68" s="9">
        <f t="shared" si="3"/>
        <v>77.78174593</v>
      </c>
      <c r="K68" s="17" t="str">
        <f t="shared" si="4"/>
        <v>Cluster-2</v>
      </c>
    </row>
    <row r="69" ht="15.75" customHeight="1">
      <c r="A69" s="11">
        <v>5601.0</v>
      </c>
      <c r="B69" s="12">
        <v>57.0</v>
      </c>
      <c r="C69" s="12">
        <v>118.0</v>
      </c>
      <c r="D69" s="12">
        <v>12.0</v>
      </c>
      <c r="E69" s="13" t="s">
        <v>80</v>
      </c>
      <c r="F69" s="13" t="s">
        <v>14</v>
      </c>
      <c r="G69" s="12">
        <v>12.0</v>
      </c>
      <c r="H69" s="14">
        <f t="shared" si="5"/>
        <v>78.40918314</v>
      </c>
      <c r="I69" s="15">
        <f t="shared" si="2"/>
        <v>67.88225099</v>
      </c>
      <c r="J69" s="15">
        <f t="shared" si="3"/>
        <v>78.02563681</v>
      </c>
      <c r="K69" s="16" t="str">
        <f t="shared" si="4"/>
        <v>Cluster-2</v>
      </c>
    </row>
    <row r="70" ht="15.75" customHeight="1">
      <c r="A70" s="5">
        <v>9236.0</v>
      </c>
      <c r="B70" s="6">
        <v>21.0</v>
      </c>
      <c r="C70" s="6">
        <v>112.0</v>
      </c>
      <c r="D70" s="6">
        <v>95.0</v>
      </c>
      <c r="E70" s="7" t="s">
        <v>81</v>
      </c>
      <c r="F70" s="7" t="s">
        <v>14</v>
      </c>
      <c r="G70" s="6">
        <v>2.0</v>
      </c>
      <c r="H70" s="8">
        <f t="shared" si="5"/>
        <v>103.9663407</v>
      </c>
      <c r="I70" s="9">
        <f t="shared" si="2"/>
        <v>54.67174773</v>
      </c>
      <c r="J70" s="9">
        <f t="shared" si="3"/>
        <v>9.433981132</v>
      </c>
      <c r="K70" s="17" t="str">
        <f t="shared" si="4"/>
        <v>Cluster-3</v>
      </c>
    </row>
    <row r="71" ht="15.75" customHeight="1">
      <c r="A71" s="11">
        <v>2387.0</v>
      </c>
      <c r="B71" s="12">
        <v>19.0</v>
      </c>
      <c r="C71" s="12">
        <v>147.0</v>
      </c>
      <c r="D71" s="12">
        <v>46.0</v>
      </c>
      <c r="E71" s="13" t="s">
        <v>82</v>
      </c>
      <c r="F71" s="13" t="s">
        <v>14</v>
      </c>
      <c r="G71" s="12">
        <v>12.0</v>
      </c>
      <c r="H71" s="14">
        <f t="shared" si="5"/>
        <v>110.1135777</v>
      </c>
      <c r="I71" s="15">
        <f t="shared" si="2"/>
        <v>78.26237921</v>
      </c>
      <c r="J71" s="15">
        <f t="shared" si="3"/>
        <v>51.623638</v>
      </c>
      <c r="K71" s="16" t="str">
        <f t="shared" si="4"/>
        <v>Cluster-3</v>
      </c>
    </row>
    <row r="72" ht="15.75" customHeight="1">
      <c r="A72" s="5">
        <v>9249.0</v>
      </c>
      <c r="B72" s="6">
        <v>23.0</v>
      </c>
      <c r="C72" s="6">
        <v>129.0</v>
      </c>
      <c r="D72" s="6">
        <v>2.0</v>
      </c>
      <c r="E72" s="7" t="s">
        <v>83</v>
      </c>
      <c r="F72" s="7" t="s">
        <v>12</v>
      </c>
      <c r="G72" s="6">
        <v>12.0</v>
      </c>
      <c r="H72" s="8">
        <f t="shared" si="5"/>
        <v>90.80198236</v>
      </c>
      <c r="I72" s="9">
        <f t="shared" si="2"/>
        <v>82.73451517</v>
      </c>
      <c r="J72" s="9">
        <f t="shared" si="3"/>
        <v>88.45903006</v>
      </c>
      <c r="K72" s="17" t="str">
        <f t="shared" si="4"/>
        <v>Cluster-2</v>
      </c>
    </row>
    <row r="73" ht="15.75" customHeight="1">
      <c r="A73" s="11">
        <v>5309.0</v>
      </c>
      <c r="B73" s="12">
        <v>59.0</v>
      </c>
      <c r="C73" s="12">
        <v>101.0</v>
      </c>
      <c r="D73" s="12">
        <v>35.0</v>
      </c>
      <c r="E73" s="13" t="s">
        <v>84</v>
      </c>
      <c r="F73" s="13" t="s">
        <v>12</v>
      </c>
      <c r="G73" s="12">
        <v>5.0</v>
      </c>
      <c r="H73" s="14">
        <f t="shared" si="5"/>
        <v>62.8171951</v>
      </c>
      <c r="I73" s="15">
        <f t="shared" si="2"/>
        <v>39.8246155</v>
      </c>
      <c r="J73" s="15">
        <f t="shared" si="3"/>
        <v>58.1893461</v>
      </c>
      <c r="K73" s="16" t="str">
        <f t="shared" si="4"/>
        <v>Cluster-2</v>
      </c>
    </row>
    <row r="74" ht="15.75" customHeight="1">
      <c r="A74" s="5">
        <v>7703.0</v>
      </c>
      <c r="B74" s="6">
        <v>21.0</v>
      </c>
      <c r="C74" s="6">
        <v>73.0</v>
      </c>
      <c r="D74" s="6">
        <v>87.0</v>
      </c>
      <c r="E74" s="7" t="s">
        <v>85</v>
      </c>
      <c r="F74" s="7" t="s">
        <v>14</v>
      </c>
      <c r="G74" s="6">
        <v>9.0</v>
      </c>
      <c r="H74" s="8">
        <f t="shared" si="5"/>
        <v>74.6860094</v>
      </c>
      <c r="I74" s="9">
        <f t="shared" si="2"/>
        <v>27.16615541</v>
      </c>
      <c r="J74" s="9">
        <f t="shared" si="3"/>
        <v>47.09564736</v>
      </c>
      <c r="K74" s="17" t="str">
        <f t="shared" si="4"/>
        <v>Cluster-2</v>
      </c>
    </row>
    <row r="75" ht="15.75" customHeight="1">
      <c r="A75" s="11">
        <v>8885.0</v>
      </c>
      <c r="B75" s="12">
        <v>46.0</v>
      </c>
      <c r="C75" s="12">
        <v>87.0</v>
      </c>
      <c r="D75" s="12">
        <v>81.0</v>
      </c>
      <c r="E75" s="13" t="s">
        <v>86</v>
      </c>
      <c r="F75" s="13" t="s">
        <v>12</v>
      </c>
      <c r="G75" s="12">
        <v>4.0</v>
      </c>
      <c r="H75" s="14">
        <f t="shared" si="5"/>
        <v>77.00649323</v>
      </c>
      <c r="I75" s="15">
        <f t="shared" si="2"/>
        <v>27.01851217</v>
      </c>
      <c r="J75" s="15">
        <f t="shared" si="3"/>
        <v>34.20526275</v>
      </c>
      <c r="K75" s="16" t="str">
        <f t="shared" si="4"/>
        <v>Cluster-2</v>
      </c>
    </row>
    <row r="76" ht="15.75" customHeight="1">
      <c r="A76" s="5">
        <v>7399.0</v>
      </c>
      <c r="B76" s="6">
        <v>35.0</v>
      </c>
      <c r="C76" s="6">
        <v>52.0</v>
      </c>
      <c r="D76" s="6">
        <v>90.0</v>
      </c>
      <c r="E76" s="7" t="s">
        <v>87</v>
      </c>
      <c r="F76" s="7" t="s">
        <v>14</v>
      </c>
      <c r="G76" s="6">
        <v>11.0</v>
      </c>
      <c r="H76" s="8">
        <f t="shared" si="5"/>
        <v>71.02112362</v>
      </c>
      <c r="I76" s="9">
        <f t="shared" si="2"/>
        <v>34.98571137</v>
      </c>
      <c r="J76" s="9">
        <f t="shared" si="3"/>
        <v>68</v>
      </c>
      <c r="K76" s="17" t="str">
        <f t="shared" si="4"/>
        <v>Cluster-2</v>
      </c>
    </row>
    <row r="77" ht="15.75" customHeight="1">
      <c r="A77" s="11">
        <v>8907.0</v>
      </c>
      <c r="B77" s="12">
        <v>43.0</v>
      </c>
      <c r="C77" s="12">
        <v>40.0</v>
      </c>
      <c r="D77" s="12">
        <v>8.0</v>
      </c>
      <c r="E77" s="13" t="s">
        <v>88</v>
      </c>
      <c r="F77" s="13" t="s">
        <v>14</v>
      </c>
      <c r="G77" s="12">
        <v>6.0</v>
      </c>
      <c r="H77" s="14">
        <f t="shared" si="5"/>
        <v>12</v>
      </c>
      <c r="I77" s="15">
        <f t="shared" si="2"/>
        <v>60.03332408</v>
      </c>
      <c r="J77" s="15">
        <f t="shared" si="3"/>
        <v>114.5600279</v>
      </c>
      <c r="K77" s="16" t="str">
        <f t="shared" si="4"/>
        <v>Cluster-1</v>
      </c>
    </row>
    <row r="78" ht="15.75" customHeight="1">
      <c r="A78" s="5">
        <v>5068.0</v>
      </c>
      <c r="B78" s="6">
        <v>61.0</v>
      </c>
      <c r="C78" s="6">
        <v>67.0</v>
      </c>
      <c r="D78" s="6">
        <v>93.0</v>
      </c>
      <c r="E78" s="7" t="s">
        <v>89</v>
      </c>
      <c r="F78" s="7" t="s">
        <v>14</v>
      </c>
      <c r="G78" s="6">
        <v>1.0</v>
      </c>
      <c r="H78" s="8">
        <f t="shared" si="5"/>
        <v>77.83315489</v>
      </c>
      <c r="I78" s="9">
        <f t="shared" si="2"/>
        <v>33.13608305</v>
      </c>
      <c r="J78" s="9">
        <f t="shared" si="3"/>
        <v>53.08483776</v>
      </c>
      <c r="K78" s="17" t="str">
        <f t="shared" si="4"/>
        <v>Cluster-2</v>
      </c>
    </row>
    <row r="79" ht="15.75" customHeight="1">
      <c r="A79" s="11">
        <v>1590.0</v>
      </c>
      <c r="B79" s="12">
        <v>51.0</v>
      </c>
      <c r="C79" s="12">
        <v>147.0</v>
      </c>
      <c r="D79" s="12">
        <v>26.0</v>
      </c>
      <c r="E79" s="13" t="s">
        <v>90</v>
      </c>
      <c r="F79" s="13" t="s">
        <v>12</v>
      </c>
      <c r="G79" s="12">
        <v>9.0</v>
      </c>
      <c r="H79" s="14">
        <f t="shared" si="5"/>
        <v>107.1680923</v>
      </c>
      <c r="I79" s="15">
        <f t="shared" si="2"/>
        <v>84.17244205</v>
      </c>
      <c r="J79" s="15">
        <f t="shared" si="3"/>
        <v>69.46221995</v>
      </c>
      <c r="K79" s="16" t="str">
        <f t="shared" si="4"/>
        <v>Cluster-3</v>
      </c>
    </row>
    <row r="80" ht="15.75" customHeight="1">
      <c r="A80" s="5">
        <v>8159.0</v>
      </c>
      <c r="B80" s="6">
        <v>27.0</v>
      </c>
      <c r="C80" s="6">
        <v>147.0</v>
      </c>
      <c r="D80" s="6">
        <v>74.0</v>
      </c>
      <c r="E80" s="7" t="s">
        <v>91</v>
      </c>
      <c r="F80" s="7" t="s">
        <v>14</v>
      </c>
      <c r="G80" s="6">
        <v>1.0</v>
      </c>
      <c r="H80" s="8">
        <f t="shared" si="5"/>
        <v>119.8540779</v>
      </c>
      <c r="I80" s="9">
        <f t="shared" si="2"/>
        <v>78.26237921</v>
      </c>
      <c r="J80" s="9">
        <f t="shared" si="3"/>
        <v>31.38470965</v>
      </c>
      <c r="K80" s="17" t="str">
        <f t="shared" si="4"/>
        <v>Cluster-3</v>
      </c>
    </row>
    <row r="81" ht="15.75" customHeight="1">
      <c r="A81" s="11">
        <v>3333.0</v>
      </c>
      <c r="B81" s="12">
        <v>53.0</v>
      </c>
      <c r="C81" s="12">
        <v>52.0</v>
      </c>
      <c r="D81" s="12">
        <v>90.0</v>
      </c>
      <c r="E81" s="13" t="s">
        <v>92</v>
      </c>
      <c r="F81" s="13" t="s">
        <v>12</v>
      </c>
      <c r="G81" s="12">
        <v>5.0</v>
      </c>
      <c r="H81" s="14">
        <f t="shared" si="5"/>
        <v>71.02112362</v>
      </c>
      <c r="I81" s="15">
        <f t="shared" si="2"/>
        <v>34.98571137</v>
      </c>
      <c r="J81" s="15">
        <f t="shared" si="3"/>
        <v>68</v>
      </c>
      <c r="K81" s="16" t="str">
        <f t="shared" si="4"/>
        <v>Cluster-2</v>
      </c>
    </row>
    <row r="82" ht="15.75" customHeight="1">
      <c r="A82" s="5">
        <v>8975.0</v>
      </c>
      <c r="B82" s="6">
        <v>31.0</v>
      </c>
      <c r="C82" s="6">
        <v>134.0</v>
      </c>
      <c r="D82" s="6">
        <v>34.0</v>
      </c>
      <c r="E82" s="7" t="s">
        <v>93</v>
      </c>
      <c r="F82" s="7" t="s">
        <v>14</v>
      </c>
      <c r="G82" s="6">
        <v>4.0</v>
      </c>
      <c r="H82" s="8">
        <f t="shared" si="5"/>
        <v>95.03683496</v>
      </c>
      <c r="I82" s="9">
        <f t="shared" si="2"/>
        <v>69.07966416</v>
      </c>
      <c r="J82" s="9">
        <f t="shared" si="3"/>
        <v>57.72347876</v>
      </c>
      <c r="K82" s="17" t="str">
        <f t="shared" si="4"/>
        <v>Cluster-3</v>
      </c>
    </row>
    <row r="83" ht="15.75" customHeight="1">
      <c r="A83" s="11">
        <v>8497.0</v>
      </c>
      <c r="B83" s="12">
        <v>48.0</v>
      </c>
      <c r="C83" s="12">
        <v>138.0</v>
      </c>
      <c r="D83" s="12">
        <v>7.0</v>
      </c>
      <c r="E83" s="13" t="s">
        <v>94</v>
      </c>
      <c r="F83" s="13" t="s">
        <v>12</v>
      </c>
      <c r="G83" s="12">
        <v>13.0</v>
      </c>
      <c r="H83" s="14">
        <f t="shared" si="5"/>
        <v>98.85848471</v>
      </c>
      <c r="I83" s="15">
        <f t="shared" si="2"/>
        <v>86.21484791</v>
      </c>
      <c r="J83" s="15">
        <f t="shared" si="3"/>
        <v>84.92938243</v>
      </c>
      <c r="K83" s="16" t="str">
        <f t="shared" si="4"/>
        <v>Cluster-3</v>
      </c>
    </row>
    <row r="84" ht="15.75" customHeight="1">
      <c r="A84" s="5">
        <v>4606.0</v>
      </c>
      <c r="B84" s="6">
        <v>65.0</v>
      </c>
      <c r="C84" s="6">
        <v>41.0</v>
      </c>
      <c r="D84" s="6">
        <v>68.0</v>
      </c>
      <c r="E84" s="7" t="s">
        <v>95</v>
      </c>
      <c r="F84" s="7" t="s">
        <v>12</v>
      </c>
      <c r="G84" s="6">
        <v>12.0</v>
      </c>
      <c r="H84" s="8">
        <f t="shared" si="5"/>
        <v>48.01041554</v>
      </c>
      <c r="I84" s="9">
        <f t="shared" si="2"/>
        <v>30.08321791</v>
      </c>
      <c r="J84" s="9">
        <f t="shared" si="3"/>
        <v>82.00609733</v>
      </c>
      <c r="K84" s="17" t="str">
        <f t="shared" si="4"/>
        <v>Cluster-2</v>
      </c>
    </row>
    <row r="85" ht="15.75" customHeight="1">
      <c r="A85" s="11">
        <v>9920.0</v>
      </c>
      <c r="B85" s="12">
        <v>32.0</v>
      </c>
      <c r="C85" s="12">
        <v>57.0</v>
      </c>
      <c r="D85" s="12">
        <v>58.0</v>
      </c>
      <c r="E85" s="13" t="s">
        <v>96</v>
      </c>
      <c r="F85" s="13" t="s">
        <v>14</v>
      </c>
      <c r="G85" s="12">
        <v>13.0</v>
      </c>
      <c r="H85" s="14">
        <f t="shared" si="5"/>
        <v>41.62931659</v>
      </c>
      <c r="I85" s="15">
        <f t="shared" si="2"/>
        <v>13.15294644</v>
      </c>
      <c r="J85" s="15">
        <f t="shared" si="3"/>
        <v>70.66116331</v>
      </c>
      <c r="K85" s="16" t="str">
        <f t="shared" si="4"/>
        <v>Cluster-2</v>
      </c>
    </row>
    <row r="86" ht="15.75" customHeight="1">
      <c r="A86" s="5">
        <v>1939.0</v>
      </c>
      <c r="B86" s="6">
        <v>25.0</v>
      </c>
      <c r="C86" s="6">
        <v>128.0</v>
      </c>
      <c r="D86" s="6">
        <v>75.0</v>
      </c>
      <c r="E86" s="7" t="s">
        <v>97</v>
      </c>
      <c r="F86" s="7" t="s">
        <v>14</v>
      </c>
      <c r="G86" s="6">
        <v>13.0</v>
      </c>
      <c r="H86" s="8">
        <f t="shared" si="5"/>
        <v>103.7737925</v>
      </c>
      <c r="I86" s="9">
        <f t="shared" si="2"/>
        <v>59.9082632</v>
      </c>
      <c r="J86" s="9">
        <f t="shared" si="3"/>
        <v>17</v>
      </c>
      <c r="K86" s="17" t="str">
        <f t="shared" si="4"/>
        <v>Cluster-3</v>
      </c>
    </row>
    <row r="87" ht="15.75" customHeight="1">
      <c r="A87" s="11">
        <v>8752.0</v>
      </c>
      <c r="B87" s="12">
        <v>31.0</v>
      </c>
      <c r="C87" s="12">
        <v>70.0</v>
      </c>
      <c r="D87" s="12">
        <v>29.0</v>
      </c>
      <c r="E87" s="13" t="s">
        <v>98</v>
      </c>
      <c r="F87" s="13" t="s">
        <v>12</v>
      </c>
      <c r="G87" s="12">
        <v>14.0</v>
      </c>
      <c r="H87" s="14">
        <f t="shared" si="5"/>
        <v>31.32091953</v>
      </c>
      <c r="I87" s="15">
        <f t="shared" si="2"/>
        <v>31</v>
      </c>
      <c r="J87" s="15">
        <f t="shared" si="3"/>
        <v>78.87331615</v>
      </c>
      <c r="K87" s="16" t="str">
        <f t="shared" si="4"/>
        <v>Cluster-2</v>
      </c>
    </row>
    <row r="88" ht="15.75" customHeight="1">
      <c r="A88" s="5">
        <v>2940.0</v>
      </c>
      <c r="B88" s="6">
        <v>40.0</v>
      </c>
      <c r="C88" s="6">
        <v>27.0</v>
      </c>
      <c r="D88" s="6">
        <v>36.0</v>
      </c>
      <c r="E88" s="7" t="s">
        <v>99</v>
      </c>
      <c r="F88" s="7" t="s">
        <v>12</v>
      </c>
      <c r="G88" s="6">
        <v>3.0</v>
      </c>
      <c r="H88" s="8">
        <f t="shared" si="5"/>
        <v>20.61552813</v>
      </c>
      <c r="I88" s="9">
        <f t="shared" si="2"/>
        <v>49.24428901</v>
      </c>
      <c r="J88" s="9">
        <f t="shared" si="3"/>
        <v>107.54069</v>
      </c>
      <c r="K88" s="17" t="str">
        <f t="shared" si="4"/>
        <v>Cluster-1</v>
      </c>
    </row>
    <row r="89" ht="15.75" customHeight="1">
      <c r="A89" s="11">
        <v>4918.0</v>
      </c>
      <c r="B89" s="12">
        <v>57.0</v>
      </c>
      <c r="C89" s="12">
        <v>46.0</v>
      </c>
      <c r="D89" s="12">
        <v>89.0</v>
      </c>
      <c r="E89" s="13" t="s">
        <v>100</v>
      </c>
      <c r="F89" s="13" t="s">
        <v>14</v>
      </c>
      <c r="G89" s="12">
        <v>13.0</v>
      </c>
      <c r="H89" s="14">
        <f t="shared" si="5"/>
        <v>69.26037828</v>
      </c>
      <c r="I89" s="15">
        <f t="shared" si="2"/>
        <v>37.64306045</v>
      </c>
      <c r="J89" s="15">
        <f t="shared" si="3"/>
        <v>74.00675645</v>
      </c>
      <c r="K89" s="16" t="str">
        <f t="shared" si="4"/>
        <v>Cluster-2</v>
      </c>
    </row>
    <row r="90" ht="15.75" customHeight="1">
      <c r="A90" s="5">
        <v>8901.0</v>
      </c>
      <c r="B90" s="6">
        <v>38.0</v>
      </c>
      <c r="C90" s="6">
        <v>46.0</v>
      </c>
      <c r="D90" s="6">
        <v>21.0</v>
      </c>
      <c r="E90" s="7" t="s">
        <v>101</v>
      </c>
      <c r="F90" s="7" t="s">
        <v>12</v>
      </c>
      <c r="G90" s="6">
        <v>6.0</v>
      </c>
      <c r="H90" s="8">
        <f t="shared" si="5"/>
        <v>6.08276253</v>
      </c>
      <c r="I90" s="9">
        <f t="shared" si="2"/>
        <v>45.79301257</v>
      </c>
      <c r="J90" s="9">
        <f t="shared" si="3"/>
        <v>101.1780609</v>
      </c>
      <c r="K90" s="17" t="str">
        <f t="shared" si="4"/>
        <v>Cluster-1</v>
      </c>
    </row>
    <row r="91" ht="15.75" customHeight="1">
      <c r="A91" s="11">
        <v>9573.0</v>
      </c>
      <c r="B91" s="12">
        <v>33.0</v>
      </c>
      <c r="C91" s="12">
        <v>40.0</v>
      </c>
      <c r="D91" s="12">
        <v>36.0</v>
      </c>
      <c r="E91" s="13" t="s">
        <v>102</v>
      </c>
      <c r="F91" s="13" t="s">
        <v>14</v>
      </c>
      <c r="G91" s="12">
        <v>2.0</v>
      </c>
      <c r="H91" s="14">
        <f t="shared" si="5"/>
        <v>16</v>
      </c>
      <c r="I91" s="15">
        <f t="shared" si="2"/>
        <v>38.41874542</v>
      </c>
      <c r="J91" s="15">
        <f t="shared" si="3"/>
        <v>96.5194281</v>
      </c>
      <c r="K91" s="16" t="str">
        <f t="shared" si="4"/>
        <v>Cluster-1</v>
      </c>
    </row>
    <row r="92" ht="15.75" customHeight="1">
      <c r="A92" s="5">
        <v>2018.0</v>
      </c>
      <c r="B92" s="6">
        <v>62.0</v>
      </c>
      <c r="C92" s="6">
        <v>49.0</v>
      </c>
      <c r="D92" s="6">
        <v>10.0</v>
      </c>
      <c r="E92" s="7" t="s">
        <v>103</v>
      </c>
      <c r="F92" s="7" t="s">
        <v>14</v>
      </c>
      <c r="G92" s="6">
        <v>3.0</v>
      </c>
      <c r="H92" s="8">
        <f t="shared" si="5"/>
        <v>13.45362405</v>
      </c>
      <c r="I92" s="9">
        <f t="shared" si="2"/>
        <v>54.23098745</v>
      </c>
      <c r="J92" s="9">
        <f t="shared" si="3"/>
        <v>106.9626103</v>
      </c>
      <c r="K92" s="17" t="str">
        <f t="shared" si="4"/>
        <v>Cluster-1</v>
      </c>
    </row>
    <row r="93" ht="15.75" customHeight="1">
      <c r="A93" s="11">
        <v>1254.0</v>
      </c>
      <c r="B93" s="12">
        <v>35.0</v>
      </c>
      <c r="C93" s="12">
        <v>116.0</v>
      </c>
      <c r="D93" s="12">
        <v>73.0</v>
      </c>
      <c r="E93" s="13" t="s">
        <v>104</v>
      </c>
      <c r="F93" s="13" t="s">
        <v>12</v>
      </c>
      <c r="G93" s="12">
        <v>5.0</v>
      </c>
      <c r="H93" s="14">
        <f t="shared" si="5"/>
        <v>92.65527508</v>
      </c>
      <c r="I93" s="15">
        <f t="shared" si="2"/>
        <v>47.80167361</v>
      </c>
      <c r="J93" s="15">
        <f t="shared" si="3"/>
        <v>17.4642492</v>
      </c>
      <c r="K93" s="16" t="str">
        <f t="shared" si="4"/>
        <v>Cluster-3</v>
      </c>
    </row>
    <row r="94" ht="15.75" customHeight="1">
      <c r="A94" s="5">
        <v>9337.0</v>
      </c>
      <c r="B94" s="6">
        <v>64.0</v>
      </c>
      <c r="C94" s="6">
        <v>47.0</v>
      </c>
      <c r="D94" s="6">
        <v>24.0</v>
      </c>
      <c r="E94" s="7" t="s">
        <v>105</v>
      </c>
      <c r="F94" s="7" t="s">
        <v>12</v>
      </c>
      <c r="G94" s="6">
        <v>9.0</v>
      </c>
      <c r="H94" s="8">
        <f t="shared" si="5"/>
        <v>8.062257748</v>
      </c>
      <c r="I94" s="9">
        <f t="shared" si="2"/>
        <v>42.72001873</v>
      </c>
      <c r="J94" s="9">
        <f t="shared" si="3"/>
        <v>98.41239759</v>
      </c>
      <c r="K94" s="17" t="str">
        <f t="shared" si="4"/>
        <v>Cluster-1</v>
      </c>
    </row>
    <row r="95" ht="15.75" customHeight="1">
      <c r="A95" s="11">
        <v>8031.0</v>
      </c>
      <c r="B95" s="12">
        <v>41.0</v>
      </c>
      <c r="C95" s="12">
        <v>130.0</v>
      </c>
      <c r="D95" s="12">
        <v>64.0</v>
      </c>
      <c r="E95" s="13" t="s">
        <v>106</v>
      </c>
      <c r="F95" s="13" t="s">
        <v>14</v>
      </c>
      <c r="G95" s="12">
        <v>2.0</v>
      </c>
      <c r="H95" s="14">
        <f t="shared" si="5"/>
        <v>100.1798383</v>
      </c>
      <c r="I95" s="15">
        <f t="shared" si="2"/>
        <v>60.13318551</v>
      </c>
      <c r="J95" s="15">
        <f t="shared" si="3"/>
        <v>27.85677655</v>
      </c>
      <c r="K95" s="16" t="str">
        <f t="shared" si="4"/>
        <v>Cluster-3</v>
      </c>
    </row>
    <row r="96" ht="15.75" customHeight="1">
      <c r="A96" s="5">
        <v>1010.0</v>
      </c>
      <c r="B96" s="6">
        <v>43.0</v>
      </c>
      <c r="C96" s="6">
        <v>80.0</v>
      </c>
      <c r="D96" s="6">
        <v>99.0</v>
      </c>
      <c r="E96" s="7" t="s">
        <v>107</v>
      </c>
      <c r="F96" s="7" t="s">
        <v>14</v>
      </c>
      <c r="G96" s="6">
        <v>10.0</v>
      </c>
      <c r="H96" s="8">
        <f t="shared" si="5"/>
        <v>88.54942123</v>
      </c>
      <c r="I96" s="9">
        <f t="shared" si="2"/>
        <v>40.26164428</v>
      </c>
      <c r="J96" s="9">
        <f t="shared" si="3"/>
        <v>41</v>
      </c>
      <c r="K96" s="17" t="str">
        <f t="shared" si="4"/>
        <v>Cluster-2</v>
      </c>
    </row>
    <row r="97" ht="15.75" customHeight="1">
      <c r="A97" s="11">
        <v>6422.0</v>
      </c>
      <c r="B97" s="12">
        <v>42.0</v>
      </c>
      <c r="C97" s="12">
        <v>67.0</v>
      </c>
      <c r="D97" s="12">
        <v>49.0</v>
      </c>
      <c r="E97" s="13" t="s">
        <v>108</v>
      </c>
      <c r="F97" s="13" t="s">
        <v>14</v>
      </c>
      <c r="G97" s="12">
        <v>8.0</v>
      </c>
      <c r="H97" s="14">
        <f t="shared" si="5"/>
        <v>39.62322551</v>
      </c>
      <c r="I97" s="15">
        <f t="shared" si="2"/>
        <v>11.40175425</v>
      </c>
      <c r="J97" s="15">
        <f t="shared" si="3"/>
        <v>67.00746227</v>
      </c>
      <c r="K97" s="16" t="str">
        <f t="shared" si="4"/>
        <v>Cluster-2</v>
      </c>
    </row>
    <row r="98" ht="15.75" customHeight="1">
      <c r="A98" s="5">
        <v>1346.0</v>
      </c>
      <c r="B98" s="6">
        <v>62.0</v>
      </c>
      <c r="C98" s="6">
        <v>23.0</v>
      </c>
      <c r="D98" s="6">
        <v>99.0</v>
      </c>
      <c r="E98" s="7" t="s">
        <v>109</v>
      </c>
      <c r="F98" s="7" t="s">
        <v>12</v>
      </c>
      <c r="G98" s="6">
        <v>14.0</v>
      </c>
      <c r="H98" s="8">
        <f t="shared" si="5"/>
        <v>80.8084154</v>
      </c>
      <c r="I98" s="9">
        <f t="shared" si="2"/>
        <v>61.07372594</v>
      </c>
      <c r="J98" s="9">
        <f t="shared" si="3"/>
        <v>97.41663102</v>
      </c>
      <c r="K98" s="17" t="str">
        <f t="shared" si="4"/>
        <v>Cluster-2</v>
      </c>
    </row>
    <row r="99" ht="15.75" customHeight="1">
      <c r="A99" s="11">
        <v>8835.0</v>
      </c>
      <c r="B99" s="12">
        <v>58.0</v>
      </c>
      <c r="C99" s="12">
        <v>54.0</v>
      </c>
      <c r="D99" s="12">
        <v>36.0</v>
      </c>
      <c r="E99" s="13" t="s">
        <v>110</v>
      </c>
      <c r="F99" s="13" t="s">
        <v>14</v>
      </c>
      <c r="G99" s="12">
        <v>2.0</v>
      </c>
      <c r="H99" s="14">
        <f t="shared" si="5"/>
        <v>21.26029163</v>
      </c>
      <c r="I99" s="15">
        <f t="shared" si="2"/>
        <v>28.8444102</v>
      </c>
      <c r="J99" s="15">
        <f t="shared" si="3"/>
        <v>85.27602242</v>
      </c>
      <c r="K99" s="16" t="str">
        <f t="shared" si="4"/>
        <v>Cluster-1</v>
      </c>
    </row>
    <row r="100" ht="15.75" customHeight="1">
      <c r="A100" s="5">
        <v>6074.0</v>
      </c>
      <c r="B100" s="6">
        <v>46.0</v>
      </c>
      <c r="C100" s="6">
        <v>68.0</v>
      </c>
      <c r="D100" s="6">
        <v>82.0</v>
      </c>
      <c r="E100" s="7" t="s">
        <v>111</v>
      </c>
      <c r="F100" s="7" t="s">
        <v>14</v>
      </c>
      <c r="G100" s="6">
        <v>11.0</v>
      </c>
      <c r="H100" s="8">
        <f t="shared" si="5"/>
        <v>68.02940541</v>
      </c>
      <c r="I100" s="9">
        <f t="shared" si="2"/>
        <v>22.09072203</v>
      </c>
      <c r="J100" s="9">
        <f t="shared" si="3"/>
        <v>52.61178575</v>
      </c>
      <c r="K100" s="17" t="str">
        <f t="shared" si="4"/>
        <v>Cluster-2</v>
      </c>
    </row>
    <row r="101" ht="15.75" customHeight="1">
      <c r="A101" s="11">
        <v>3729.0</v>
      </c>
      <c r="B101" s="12">
        <v>32.0</v>
      </c>
      <c r="C101" s="12">
        <v>36.0</v>
      </c>
      <c r="D101" s="12">
        <v>96.0</v>
      </c>
      <c r="E101" s="13" t="s">
        <v>112</v>
      </c>
      <c r="F101" s="13" t="s">
        <v>12</v>
      </c>
      <c r="G101" s="12">
        <v>13.0</v>
      </c>
      <c r="H101" s="14">
        <f t="shared" si="5"/>
        <v>76.10519036</v>
      </c>
      <c r="I101" s="15">
        <f t="shared" si="2"/>
        <v>49.51767361</v>
      </c>
      <c r="J101" s="15">
        <f t="shared" si="3"/>
        <v>84.21401309</v>
      </c>
      <c r="K101" s="16" t="str">
        <f t="shared" si="4"/>
        <v>Cluster-2</v>
      </c>
    </row>
    <row r="102" ht="15.75" customHeight="1">
      <c r="A102" s="5">
        <v>2269.0</v>
      </c>
      <c r="B102" s="6">
        <v>62.0</v>
      </c>
      <c r="C102" s="6">
        <v>65.0</v>
      </c>
      <c r="D102" s="6">
        <v>24.0</v>
      </c>
      <c r="E102" s="7" t="s">
        <v>113</v>
      </c>
      <c r="F102" s="7" t="s">
        <v>14</v>
      </c>
      <c r="G102" s="6">
        <v>5.0</v>
      </c>
      <c r="H102" s="8">
        <f t="shared" si="5"/>
        <v>25.3179778</v>
      </c>
      <c r="I102" s="9">
        <f t="shared" si="2"/>
        <v>36.34556369</v>
      </c>
      <c r="J102" s="9">
        <f t="shared" si="3"/>
        <v>85.91274643</v>
      </c>
      <c r="K102" s="17" t="str">
        <f t="shared" si="4"/>
        <v>Cluster-1</v>
      </c>
    </row>
    <row r="103" ht="15.75" customHeight="1">
      <c r="A103" s="11">
        <v>3782.0</v>
      </c>
      <c r="B103" s="12">
        <v>18.0</v>
      </c>
      <c r="C103" s="12">
        <v>136.0</v>
      </c>
      <c r="D103" s="12">
        <v>23.0</v>
      </c>
      <c r="E103" s="13" t="s">
        <v>114</v>
      </c>
      <c r="F103" s="13" t="s">
        <v>12</v>
      </c>
      <c r="G103" s="12">
        <v>7.0</v>
      </c>
      <c r="H103" s="14">
        <f t="shared" si="5"/>
        <v>96.04686356</v>
      </c>
      <c r="I103" s="15">
        <f t="shared" si="2"/>
        <v>75.66372975</v>
      </c>
      <c r="J103" s="15">
        <f t="shared" si="3"/>
        <v>68.8839604</v>
      </c>
      <c r="K103" s="16" t="str">
        <f t="shared" si="4"/>
        <v>Cluster-3</v>
      </c>
    </row>
    <row r="104" ht="15.75" customHeight="1">
      <c r="A104" s="5">
        <v>9306.0</v>
      </c>
      <c r="B104" s="6">
        <v>42.0</v>
      </c>
      <c r="C104" s="6">
        <v>25.0</v>
      </c>
      <c r="D104" s="6">
        <v>62.0</v>
      </c>
      <c r="E104" s="7" t="s">
        <v>115</v>
      </c>
      <c r="F104" s="7" t="s">
        <v>12</v>
      </c>
      <c r="G104" s="6">
        <v>8.0</v>
      </c>
      <c r="H104" s="8">
        <f t="shared" si="5"/>
        <v>44.59820624</v>
      </c>
      <c r="I104" s="9">
        <f t="shared" si="2"/>
        <v>45.04442252</v>
      </c>
      <c r="J104" s="9">
        <f t="shared" si="3"/>
        <v>99.0403958</v>
      </c>
      <c r="K104" s="17" t="str">
        <f t="shared" si="4"/>
        <v>Cluster-1</v>
      </c>
    </row>
    <row r="105" ht="15.75" customHeight="1">
      <c r="A105" s="11">
        <v>9460.0</v>
      </c>
      <c r="B105" s="12">
        <v>24.0</v>
      </c>
      <c r="C105" s="12">
        <v>118.0</v>
      </c>
      <c r="D105" s="12">
        <v>96.0</v>
      </c>
      <c r="E105" s="13" t="s">
        <v>102</v>
      </c>
      <c r="F105" s="13" t="s">
        <v>14</v>
      </c>
      <c r="G105" s="12">
        <v>1.0</v>
      </c>
      <c r="H105" s="14">
        <f t="shared" si="5"/>
        <v>108.9036271</v>
      </c>
      <c r="I105" s="15">
        <f t="shared" si="2"/>
        <v>60</v>
      </c>
      <c r="J105" s="15">
        <f t="shared" si="3"/>
        <v>6.32455532</v>
      </c>
      <c r="K105" s="16" t="str">
        <f t="shared" si="4"/>
        <v>Cluster-3</v>
      </c>
    </row>
    <row r="106" ht="15.75" customHeight="1">
      <c r="A106" s="5">
        <v>6950.0</v>
      </c>
      <c r="B106" s="6">
        <v>26.0</v>
      </c>
      <c r="C106" s="6">
        <v>143.0</v>
      </c>
      <c r="D106" s="6">
        <v>37.0</v>
      </c>
      <c r="E106" s="7" t="s">
        <v>116</v>
      </c>
      <c r="F106" s="7" t="s">
        <v>14</v>
      </c>
      <c r="G106" s="6">
        <v>6.0</v>
      </c>
      <c r="H106" s="8">
        <f t="shared" si="5"/>
        <v>104.3934864</v>
      </c>
      <c r="I106" s="9">
        <f t="shared" si="2"/>
        <v>76.53757247</v>
      </c>
      <c r="J106" s="9">
        <f t="shared" si="3"/>
        <v>57.7754273</v>
      </c>
      <c r="K106" s="17" t="str">
        <f t="shared" si="4"/>
        <v>Cluster-3</v>
      </c>
    </row>
    <row r="107" ht="15.75" customHeight="1">
      <c r="A107" s="11">
        <v>5761.0</v>
      </c>
      <c r="B107" s="12">
        <v>41.0</v>
      </c>
      <c r="C107" s="12">
        <v>56.0</v>
      </c>
      <c r="D107" s="12">
        <v>12.0</v>
      </c>
      <c r="E107" s="13" t="s">
        <v>117</v>
      </c>
      <c r="F107" s="13" t="s">
        <v>14</v>
      </c>
      <c r="G107" s="12">
        <v>1.0</v>
      </c>
      <c r="H107" s="14">
        <f t="shared" si="5"/>
        <v>17.88854382</v>
      </c>
      <c r="I107" s="15">
        <f t="shared" si="2"/>
        <v>50</v>
      </c>
      <c r="J107" s="15">
        <f t="shared" si="3"/>
        <v>100.895986</v>
      </c>
      <c r="K107" s="16" t="str">
        <f t="shared" si="4"/>
        <v>Cluster-1</v>
      </c>
    </row>
    <row r="108" ht="15.75" customHeight="1">
      <c r="A108" s="5">
        <v>5117.0</v>
      </c>
      <c r="B108" s="6">
        <v>18.0</v>
      </c>
      <c r="C108" s="6">
        <v>43.0</v>
      </c>
      <c r="D108" s="6">
        <v>55.0</v>
      </c>
      <c r="E108" s="7" t="s">
        <v>11</v>
      </c>
      <c r="F108" s="7" t="s">
        <v>14</v>
      </c>
      <c r="G108" s="6">
        <v>2.0</v>
      </c>
      <c r="H108" s="8">
        <f t="shared" si="5"/>
        <v>35.12833614</v>
      </c>
      <c r="I108" s="9">
        <f t="shared" si="2"/>
        <v>27.45906044</v>
      </c>
      <c r="J108" s="9">
        <f t="shared" si="3"/>
        <v>84.58132182</v>
      </c>
      <c r="K108" s="17" t="str">
        <f t="shared" si="4"/>
        <v>Cluster-2</v>
      </c>
    </row>
    <row r="109" ht="15.75" customHeight="1">
      <c r="A109" s="11">
        <v>7543.0</v>
      </c>
      <c r="B109" s="12">
        <v>61.0</v>
      </c>
      <c r="C109" s="12">
        <v>112.0</v>
      </c>
      <c r="D109" s="12">
        <v>13.0</v>
      </c>
      <c r="E109" s="13" t="s">
        <v>118</v>
      </c>
      <c r="F109" s="13" t="s">
        <v>12</v>
      </c>
      <c r="G109" s="12">
        <v>1.0</v>
      </c>
      <c r="H109" s="14">
        <f t="shared" si="5"/>
        <v>72.33947747</v>
      </c>
      <c r="I109" s="15">
        <f t="shared" si="2"/>
        <v>63.03173804</v>
      </c>
      <c r="J109" s="15">
        <f t="shared" si="3"/>
        <v>77.41446893</v>
      </c>
      <c r="K109" s="16" t="str">
        <f t="shared" si="4"/>
        <v>Cluster-2</v>
      </c>
    </row>
    <row r="110" ht="15.75" customHeight="1">
      <c r="A110" s="5">
        <v>7486.0</v>
      </c>
      <c r="B110" s="6">
        <v>25.0</v>
      </c>
      <c r="C110" s="6">
        <v>65.0</v>
      </c>
      <c r="D110" s="6">
        <v>23.0</v>
      </c>
      <c r="E110" s="7" t="s">
        <v>119</v>
      </c>
      <c r="F110" s="7" t="s">
        <v>12</v>
      </c>
      <c r="G110" s="6">
        <v>11.0</v>
      </c>
      <c r="H110" s="8">
        <f t="shared" si="5"/>
        <v>25.17935662</v>
      </c>
      <c r="I110" s="9">
        <f t="shared" si="2"/>
        <v>37.33630941</v>
      </c>
      <c r="J110" s="9">
        <f t="shared" si="3"/>
        <v>86.68333173</v>
      </c>
      <c r="K110" s="17" t="str">
        <f t="shared" si="4"/>
        <v>Cluster-1</v>
      </c>
    </row>
    <row r="111" ht="15.75" customHeight="1">
      <c r="A111" s="11">
        <v>3741.0</v>
      </c>
      <c r="B111" s="12">
        <v>41.0</v>
      </c>
      <c r="C111" s="12">
        <v>114.0</v>
      </c>
      <c r="D111" s="12">
        <v>89.0</v>
      </c>
      <c r="E111" s="13" t="s">
        <v>120</v>
      </c>
      <c r="F111" s="13" t="s">
        <v>12</v>
      </c>
      <c r="G111" s="12">
        <v>5.0</v>
      </c>
      <c r="H111" s="14">
        <f t="shared" si="5"/>
        <v>101.1780609</v>
      </c>
      <c r="I111" s="15">
        <f t="shared" si="2"/>
        <v>52.69724851</v>
      </c>
      <c r="J111" s="15">
        <f t="shared" si="3"/>
        <v>6.08276253</v>
      </c>
      <c r="K111" s="16" t="str">
        <f t="shared" si="4"/>
        <v>Cluster-3</v>
      </c>
    </row>
    <row r="112" ht="15.75" customHeight="1">
      <c r="A112" s="5">
        <v>4775.0</v>
      </c>
      <c r="B112" s="6">
        <v>28.0</v>
      </c>
      <c r="C112" s="6">
        <v>118.0</v>
      </c>
      <c r="D112" s="6">
        <v>99.0</v>
      </c>
      <c r="E112" s="7" t="s">
        <v>121</v>
      </c>
      <c r="F112" s="7" t="s">
        <v>14</v>
      </c>
      <c r="G112" s="6">
        <v>10.0</v>
      </c>
      <c r="H112" s="8">
        <f t="shared" si="5"/>
        <v>111.0180166</v>
      </c>
      <c r="I112" s="9">
        <f t="shared" si="2"/>
        <v>61.84658438</v>
      </c>
      <c r="J112" s="9">
        <f t="shared" si="3"/>
        <v>9.219544457</v>
      </c>
      <c r="K112" s="17" t="str">
        <f t="shared" si="4"/>
        <v>Cluster-3</v>
      </c>
    </row>
    <row r="113" ht="15.75" customHeight="1">
      <c r="A113" s="11">
        <v>3176.0</v>
      </c>
      <c r="B113" s="12">
        <v>68.0</v>
      </c>
      <c r="C113" s="12">
        <v>135.0</v>
      </c>
      <c r="D113" s="12">
        <v>30.0</v>
      </c>
      <c r="E113" s="13" t="s">
        <v>122</v>
      </c>
      <c r="F113" s="13" t="s">
        <v>14</v>
      </c>
      <c r="G113" s="12">
        <v>9.0</v>
      </c>
      <c r="H113" s="14">
        <f t="shared" si="5"/>
        <v>95.52486587</v>
      </c>
      <c r="I113" s="15">
        <f t="shared" si="2"/>
        <v>71.58910532</v>
      </c>
      <c r="J113" s="15">
        <f t="shared" si="3"/>
        <v>61.84658438</v>
      </c>
      <c r="K113" s="16" t="str">
        <f t="shared" si="4"/>
        <v>Cluster-3</v>
      </c>
    </row>
    <row r="114" ht="15.75" customHeight="1">
      <c r="A114" s="5">
        <v>6319.0</v>
      </c>
      <c r="B114" s="6">
        <v>34.0</v>
      </c>
      <c r="C114" s="6">
        <v>86.0</v>
      </c>
      <c r="D114" s="6">
        <v>17.0</v>
      </c>
      <c r="E114" s="7" t="s">
        <v>123</v>
      </c>
      <c r="F114" s="7" t="s">
        <v>12</v>
      </c>
      <c r="G114" s="6">
        <v>6.0</v>
      </c>
      <c r="H114" s="8">
        <f t="shared" si="5"/>
        <v>46.09772229</v>
      </c>
      <c r="I114" s="9">
        <f t="shared" si="2"/>
        <v>45.88027899</v>
      </c>
      <c r="J114" s="9">
        <f t="shared" si="3"/>
        <v>80.5294977</v>
      </c>
      <c r="K114" s="17" t="str">
        <f t="shared" si="4"/>
        <v>Cluster-2</v>
      </c>
    </row>
    <row r="115" ht="15.75" customHeight="1">
      <c r="A115" s="11">
        <v>8916.0</v>
      </c>
      <c r="B115" s="12">
        <v>25.0</v>
      </c>
      <c r="C115" s="12">
        <v>147.0</v>
      </c>
      <c r="D115" s="12">
        <v>62.0</v>
      </c>
      <c r="E115" s="13" t="s">
        <v>124</v>
      </c>
      <c r="F115" s="13" t="s">
        <v>14</v>
      </c>
      <c r="G115" s="12">
        <v>11.0</v>
      </c>
      <c r="H115" s="14">
        <f t="shared" si="5"/>
        <v>114.9478142</v>
      </c>
      <c r="I115" s="15">
        <f t="shared" si="2"/>
        <v>77.02596965</v>
      </c>
      <c r="J115" s="15">
        <f t="shared" si="3"/>
        <v>38.89730068</v>
      </c>
      <c r="K115" s="16" t="str">
        <f t="shared" si="4"/>
        <v>Cluster-3</v>
      </c>
    </row>
    <row r="116" ht="15.75" customHeight="1">
      <c r="A116" s="5">
        <v>9888.0</v>
      </c>
      <c r="B116" s="6">
        <v>52.0</v>
      </c>
      <c r="C116" s="6">
        <v>37.0</v>
      </c>
      <c r="D116" s="6">
        <v>84.0</v>
      </c>
      <c r="E116" s="7" t="s">
        <v>125</v>
      </c>
      <c r="F116" s="7" t="s">
        <v>14</v>
      </c>
      <c r="G116" s="6">
        <v>11.0</v>
      </c>
      <c r="H116" s="8">
        <f t="shared" si="5"/>
        <v>64.07027392</v>
      </c>
      <c r="I116" s="9">
        <f t="shared" si="2"/>
        <v>40.80441153</v>
      </c>
      <c r="J116" s="9">
        <f t="shared" si="3"/>
        <v>83.21658489</v>
      </c>
      <c r="K116" s="17" t="str">
        <f t="shared" si="4"/>
        <v>Cluster-2</v>
      </c>
    </row>
    <row r="117" ht="15.75" customHeight="1">
      <c r="A117" s="11">
        <v>5798.0</v>
      </c>
      <c r="B117" s="12">
        <v>52.0</v>
      </c>
      <c r="C117" s="12">
        <v>44.0</v>
      </c>
      <c r="D117" s="12">
        <v>89.0</v>
      </c>
      <c r="E117" s="13" t="s">
        <v>126</v>
      </c>
      <c r="F117" s="13" t="s">
        <v>12</v>
      </c>
      <c r="G117" s="12">
        <v>1.0</v>
      </c>
      <c r="H117" s="14">
        <f t="shared" si="5"/>
        <v>69.11584478</v>
      </c>
      <c r="I117" s="15">
        <f t="shared" si="2"/>
        <v>38.94868419</v>
      </c>
      <c r="J117" s="15">
        <f t="shared" si="3"/>
        <v>76.00657866</v>
      </c>
      <c r="K117" s="16" t="str">
        <f t="shared" si="4"/>
        <v>Cluster-2</v>
      </c>
    </row>
    <row r="118" ht="15.75" customHeight="1">
      <c r="A118" s="5">
        <v>2623.0</v>
      </c>
      <c r="B118" s="6">
        <v>50.0</v>
      </c>
      <c r="C118" s="6">
        <v>73.0</v>
      </c>
      <c r="D118" s="6">
        <v>86.0</v>
      </c>
      <c r="E118" s="7" t="s">
        <v>127</v>
      </c>
      <c r="F118" s="7" t="s">
        <v>14</v>
      </c>
      <c r="G118" s="6">
        <v>13.0</v>
      </c>
      <c r="H118" s="8">
        <f t="shared" si="5"/>
        <v>73.79024326</v>
      </c>
      <c r="I118" s="9">
        <f t="shared" si="2"/>
        <v>26.17250466</v>
      </c>
      <c r="J118" s="9">
        <f t="shared" si="3"/>
        <v>47.16990566</v>
      </c>
      <c r="K118" s="17" t="str">
        <f t="shared" si="4"/>
        <v>Cluster-2</v>
      </c>
    </row>
    <row r="119" ht="15.75" customHeight="1">
      <c r="A119" s="11">
        <v>8072.0</v>
      </c>
      <c r="B119" s="12">
        <v>22.0</v>
      </c>
      <c r="C119" s="12">
        <v>77.0</v>
      </c>
      <c r="D119" s="12">
        <v>13.0</v>
      </c>
      <c r="E119" s="13" t="s">
        <v>128</v>
      </c>
      <c r="F119" s="13" t="s">
        <v>12</v>
      </c>
      <c r="G119" s="12">
        <v>1.0</v>
      </c>
      <c r="H119" s="14">
        <f t="shared" si="5"/>
        <v>37.65634077</v>
      </c>
      <c r="I119" s="15">
        <f t="shared" si="2"/>
        <v>47.51841748</v>
      </c>
      <c r="J119" s="15">
        <f t="shared" si="3"/>
        <v>88.19297024</v>
      </c>
      <c r="K119" s="16" t="str">
        <f t="shared" si="4"/>
        <v>Cluster-1</v>
      </c>
    </row>
    <row r="120" ht="15.75" customHeight="1">
      <c r="A120" s="5">
        <v>7894.0</v>
      </c>
      <c r="B120" s="6">
        <v>59.0</v>
      </c>
      <c r="C120" s="6">
        <v>86.0</v>
      </c>
      <c r="D120" s="6">
        <v>59.0</v>
      </c>
      <c r="E120" s="7" t="s">
        <v>129</v>
      </c>
      <c r="F120" s="7" t="s">
        <v>14</v>
      </c>
      <c r="G120" s="6">
        <v>2.0</v>
      </c>
      <c r="H120" s="8">
        <f t="shared" si="5"/>
        <v>60.30754513</v>
      </c>
      <c r="I120" s="9">
        <f t="shared" si="2"/>
        <v>16.03121954</v>
      </c>
      <c r="J120" s="9">
        <f t="shared" si="3"/>
        <v>46.01086828</v>
      </c>
      <c r="K120" s="17" t="str">
        <f t="shared" si="4"/>
        <v>Cluster-2</v>
      </c>
    </row>
    <row r="121" ht="15.75" customHeight="1">
      <c r="A121" s="11">
        <v>3503.0</v>
      </c>
      <c r="B121" s="12">
        <v>56.0</v>
      </c>
      <c r="C121" s="12">
        <v>123.0</v>
      </c>
      <c r="D121" s="12">
        <v>19.0</v>
      </c>
      <c r="E121" s="13" t="s">
        <v>130</v>
      </c>
      <c r="F121" s="13" t="s">
        <v>14</v>
      </c>
      <c r="G121" s="12">
        <v>9.0</v>
      </c>
      <c r="H121" s="14">
        <f t="shared" si="5"/>
        <v>83.00602388</v>
      </c>
      <c r="I121" s="15">
        <f t="shared" si="2"/>
        <v>67.00746227</v>
      </c>
      <c r="J121" s="15">
        <f t="shared" si="3"/>
        <v>71.06335202</v>
      </c>
      <c r="K121" s="16" t="str">
        <f t="shared" si="4"/>
        <v>Cluster-2</v>
      </c>
    </row>
    <row r="122" ht="15.75" customHeight="1">
      <c r="A122" s="5">
        <v>7227.0</v>
      </c>
      <c r="B122" s="6">
        <v>58.0</v>
      </c>
      <c r="C122" s="6">
        <v>43.0</v>
      </c>
      <c r="D122" s="6">
        <v>49.0</v>
      </c>
      <c r="E122" s="7" t="s">
        <v>131</v>
      </c>
      <c r="F122" s="7" t="s">
        <v>12</v>
      </c>
      <c r="G122" s="6">
        <v>3.0</v>
      </c>
      <c r="H122" s="8">
        <f t="shared" si="5"/>
        <v>29.15475947</v>
      </c>
      <c r="I122" s="9">
        <f t="shared" si="2"/>
        <v>29.15475947</v>
      </c>
      <c r="J122" s="9">
        <f t="shared" si="3"/>
        <v>87.23531395</v>
      </c>
      <c r="K122" s="17" t="str">
        <f t="shared" si="4"/>
        <v>Cluster-1</v>
      </c>
    </row>
    <row r="123" ht="15.75" customHeight="1">
      <c r="A123" s="11">
        <v>5225.0</v>
      </c>
      <c r="B123" s="12">
        <v>45.0</v>
      </c>
      <c r="C123" s="12">
        <v>133.0</v>
      </c>
      <c r="D123" s="12">
        <v>100.0</v>
      </c>
      <c r="E123" s="13" t="s">
        <v>132</v>
      </c>
      <c r="F123" s="13" t="s">
        <v>14</v>
      </c>
      <c r="G123" s="12">
        <v>1.0</v>
      </c>
      <c r="H123" s="14">
        <f t="shared" si="5"/>
        <v>122.6743657</v>
      </c>
      <c r="I123" s="15">
        <f t="shared" si="2"/>
        <v>74.62573283</v>
      </c>
      <c r="J123" s="15">
        <f t="shared" si="3"/>
        <v>16.40121947</v>
      </c>
      <c r="K123" s="16" t="str">
        <f t="shared" si="4"/>
        <v>Cluster-3</v>
      </c>
    </row>
    <row r="124" ht="15.75" customHeight="1">
      <c r="A124" s="5">
        <v>4112.0</v>
      </c>
      <c r="B124" s="6">
        <v>24.0</v>
      </c>
      <c r="C124" s="6">
        <v>51.0</v>
      </c>
      <c r="D124" s="6">
        <v>12.0</v>
      </c>
      <c r="E124" s="7" t="s">
        <v>133</v>
      </c>
      <c r="F124" s="7" t="s">
        <v>14</v>
      </c>
      <c r="G124" s="6">
        <v>5.0</v>
      </c>
      <c r="H124" s="8">
        <f t="shared" si="5"/>
        <v>13.60147051</v>
      </c>
      <c r="I124" s="9">
        <f t="shared" si="2"/>
        <v>51.623638</v>
      </c>
      <c r="J124" s="9">
        <f t="shared" si="3"/>
        <v>104.1393297</v>
      </c>
      <c r="K124" s="17" t="str">
        <f t="shared" si="4"/>
        <v>Cluster-1</v>
      </c>
    </row>
    <row r="125" ht="15.75" customHeight="1">
      <c r="A125" s="11">
        <v>7837.0</v>
      </c>
      <c r="B125" s="12">
        <v>26.0</v>
      </c>
      <c r="C125" s="12">
        <v>105.0</v>
      </c>
      <c r="D125" s="12">
        <v>61.0</v>
      </c>
      <c r="E125" s="13" t="s">
        <v>134</v>
      </c>
      <c r="F125" s="13" t="s">
        <v>14</v>
      </c>
      <c r="G125" s="12">
        <v>7.0</v>
      </c>
      <c r="H125" s="14">
        <f t="shared" si="5"/>
        <v>76.85050423</v>
      </c>
      <c r="I125" s="15">
        <f t="shared" si="2"/>
        <v>35.0142828</v>
      </c>
      <c r="J125" s="15">
        <f t="shared" si="3"/>
        <v>32.64965543</v>
      </c>
      <c r="K125" s="16" t="str">
        <f t="shared" si="4"/>
        <v>Cluster-3</v>
      </c>
    </row>
    <row r="126" ht="15.75" customHeight="1">
      <c r="A126" s="5">
        <v>1947.0</v>
      </c>
      <c r="B126" s="6">
        <v>25.0</v>
      </c>
      <c r="C126" s="6">
        <v>146.0</v>
      </c>
      <c r="D126" s="6">
        <v>19.0</v>
      </c>
      <c r="E126" s="7" t="s">
        <v>135</v>
      </c>
      <c r="F126" s="7" t="s">
        <v>14</v>
      </c>
      <c r="G126" s="6">
        <v>6.0</v>
      </c>
      <c r="H126" s="8">
        <f t="shared" si="5"/>
        <v>106.0047169</v>
      </c>
      <c r="I126" s="9">
        <f t="shared" si="2"/>
        <v>86.3539229</v>
      </c>
      <c r="J126" s="9">
        <f t="shared" si="3"/>
        <v>75.61084578</v>
      </c>
      <c r="K126" s="17" t="str">
        <f t="shared" si="4"/>
        <v>Cluster-3</v>
      </c>
    </row>
    <row r="127" ht="15.75" customHeight="1">
      <c r="A127" s="11">
        <v>7675.0</v>
      </c>
      <c r="B127" s="12">
        <v>29.0</v>
      </c>
      <c r="C127" s="12">
        <v>149.0</v>
      </c>
      <c r="D127" s="12">
        <v>76.0</v>
      </c>
      <c r="E127" s="13" t="s">
        <v>136</v>
      </c>
      <c r="F127" s="13" t="s">
        <v>14</v>
      </c>
      <c r="G127" s="12">
        <v>12.0</v>
      </c>
      <c r="H127" s="14">
        <f t="shared" si="5"/>
        <v>122.5438697</v>
      </c>
      <c r="I127" s="15">
        <f t="shared" si="2"/>
        <v>80.60397013</v>
      </c>
      <c r="J127" s="15">
        <f t="shared" si="3"/>
        <v>32.20248438</v>
      </c>
      <c r="K127" s="16" t="str">
        <f t="shared" si="4"/>
        <v>Cluster-3</v>
      </c>
    </row>
    <row r="128" ht="15.75" customHeight="1">
      <c r="A128" s="5">
        <v>4337.0</v>
      </c>
      <c r="B128" s="6">
        <v>51.0</v>
      </c>
      <c r="C128" s="6">
        <v>36.0</v>
      </c>
      <c r="D128" s="6">
        <v>9.0</v>
      </c>
      <c r="E128" s="7" t="s">
        <v>137</v>
      </c>
      <c r="F128" s="7" t="s">
        <v>12</v>
      </c>
      <c r="G128" s="6">
        <v>1.0</v>
      </c>
      <c r="H128" s="8">
        <f t="shared" si="5"/>
        <v>11.70469991</v>
      </c>
      <c r="I128" s="9">
        <f t="shared" si="2"/>
        <v>61.29437168</v>
      </c>
      <c r="J128" s="9">
        <f t="shared" si="3"/>
        <v>116.691902</v>
      </c>
      <c r="K128" s="17" t="str">
        <f t="shared" si="4"/>
        <v>Cluster-1</v>
      </c>
    </row>
    <row r="129" ht="15.75" customHeight="1">
      <c r="A129" s="11">
        <v>8716.0</v>
      </c>
      <c r="B129" s="12">
        <v>50.0</v>
      </c>
      <c r="C129" s="12">
        <v>123.0</v>
      </c>
      <c r="D129" s="12">
        <v>71.0</v>
      </c>
      <c r="E129" s="13" t="s">
        <v>138</v>
      </c>
      <c r="F129" s="13" t="s">
        <v>14</v>
      </c>
      <c r="G129" s="12">
        <v>5.0</v>
      </c>
      <c r="H129" s="14">
        <f t="shared" si="5"/>
        <v>97.41663102</v>
      </c>
      <c r="I129" s="15">
        <f t="shared" si="2"/>
        <v>54.12947441</v>
      </c>
      <c r="J129" s="15">
        <f t="shared" si="3"/>
        <v>19.23538406</v>
      </c>
      <c r="K129" s="16" t="str">
        <f t="shared" si="4"/>
        <v>Cluster-3</v>
      </c>
    </row>
    <row r="130" ht="15.75" customHeight="1">
      <c r="A130" s="5">
        <v>9591.0</v>
      </c>
      <c r="B130" s="6">
        <v>65.0</v>
      </c>
      <c r="C130" s="6">
        <v>62.0</v>
      </c>
      <c r="D130" s="6">
        <v>28.0</v>
      </c>
      <c r="E130" s="7" t="s">
        <v>139</v>
      </c>
      <c r="F130" s="7" t="s">
        <v>14</v>
      </c>
      <c r="G130" s="6">
        <v>5.0</v>
      </c>
      <c r="H130" s="8">
        <f t="shared" si="5"/>
        <v>23.40939982</v>
      </c>
      <c r="I130" s="9">
        <f t="shared" si="2"/>
        <v>32.984845</v>
      </c>
      <c r="J130" s="9">
        <f t="shared" si="3"/>
        <v>84.89994111</v>
      </c>
      <c r="K130" s="17" t="str">
        <f t="shared" si="4"/>
        <v>Cluster-1</v>
      </c>
    </row>
    <row r="131" ht="15.75" customHeight="1">
      <c r="A131" s="11">
        <v>5155.0</v>
      </c>
      <c r="B131" s="12">
        <v>40.0</v>
      </c>
      <c r="C131" s="12">
        <v>58.0</v>
      </c>
      <c r="D131" s="12">
        <v>78.0</v>
      </c>
      <c r="E131" s="13" t="s">
        <v>140</v>
      </c>
      <c r="F131" s="13" t="s">
        <v>14</v>
      </c>
      <c r="G131" s="12">
        <v>6.0</v>
      </c>
      <c r="H131" s="14">
        <f t="shared" si="5"/>
        <v>60.7289058</v>
      </c>
      <c r="I131" s="15">
        <f t="shared" si="2"/>
        <v>21.63330765</v>
      </c>
      <c r="J131" s="15">
        <f t="shared" si="3"/>
        <v>63.15061362</v>
      </c>
      <c r="K131" s="16" t="str">
        <f t="shared" si="4"/>
        <v>Cluster-2</v>
      </c>
    </row>
    <row r="132" ht="15.75" customHeight="1">
      <c r="A132" s="5">
        <v>5540.0</v>
      </c>
      <c r="B132" s="6">
        <v>41.0</v>
      </c>
      <c r="C132" s="6">
        <v>45.0</v>
      </c>
      <c r="D132" s="6">
        <v>95.0</v>
      </c>
      <c r="E132" s="7" t="s">
        <v>141</v>
      </c>
      <c r="F132" s="7" t="s">
        <v>14</v>
      </c>
      <c r="G132" s="6">
        <v>3.0</v>
      </c>
      <c r="H132" s="8">
        <f t="shared" si="5"/>
        <v>75.16648189</v>
      </c>
      <c r="I132" s="9">
        <f t="shared" si="2"/>
        <v>43.01162634</v>
      </c>
      <c r="J132" s="9">
        <f t="shared" si="3"/>
        <v>75.16648189</v>
      </c>
      <c r="K132" s="17" t="str">
        <f t="shared" si="4"/>
        <v>Cluster-2</v>
      </c>
    </row>
    <row r="133" ht="15.75" customHeight="1">
      <c r="A133" s="11">
        <v>8129.0</v>
      </c>
      <c r="B133" s="12">
        <v>54.0</v>
      </c>
      <c r="C133" s="12">
        <v>118.0</v>
      </c>
      <c r="D133" s="12">
        <v>52.0</v>
      </c>
      <c r="E133" s="13" t="s">
        <v>76</v>
      </c>
      <c r="F133" s="13" t="s">
        <v>14</v>
      </c>
      <c r="G133" s="12">
        <v>5.0</v>
      </c>
      <c r="H133" s="14">
        <f t="shared" si="5"/>
        <v>84.30895563</v>
      </c>
      <c r="I133" s="15">
        <f t="shared" si="2"/>
        <v>48.66210024</v>
      </c>
      <c r="J133" s="15">
        <f t="shared" si="3"/>
        <v>38.05259518</v>
      </c>
      <c r="K133" s="16" t="str">
        <f t="shared" si="4"/>
        <v>Cluster-3</v>
      </c>
    </row>
    <row r="134" ht="15.75" customHeight="1">
      <c r="A134" s="5">
        <v>6010.0</v>
      </c>
      <c r="B134" s="6">
        <v>52.0</v>
      </c>
      <c r="C134" s="6">
        <v>69.0</v>
      </c>
      <c r="D134" s="6">
        <v>83.0</v>
      </c>
      <c r="E134" s="7" t="s">
        <v>142</v>
      </c>
      <c r="F134" s="7" t="s">
        <v>14</v>
      </c>
      <c r="G134" s="6">
        <v>7.0</v>
      </c>
      <c r="H134" s="8">
        <f t="shared" si="5"/>
        <v>69.35416354</v>
      </c>
      <c r="I134" s="9">
        <f t="shared" si="2"/>
        <v>23.02172887</v>
      </c>
      <c r="J134" s="9">
        <f t="shared" si="3"/>
        <v>51.4781507</v>
      </c>
      <c r="K134" s="17" t="str">
        <f t="shared" si="4"/>
        <v>Cluster-2</v>
      </c>
    </row>
    <row r="135" ht="15.75" customHeight="1">
      <c r="A135" s="11">
        <v>1857.0</v>
      </c>
      <c r="B135" s="12">
        <v>61.0</v>
      </c>
      <c r="C135" s="12">
        <v>32.0</v>
      </c>
      <c r="D135" s="12">
        <v>16.0</v>
      </c>
      <c r="E135" s="13" t="s">
        <v>143</v>
      </c>
      <c r="F135" s="13" t="s">
        <v>14</v>
      </c>
      <c r="G135" s="12">
        <v>5.0</v>
      </c>
      <c r="H135" s="14">
        <f t="shared" si="5"/>
        <v>8.94427191</v>
      </c>
      <c r="I135" s="15">
        <f t="shared" si="2"/>
        <v>58.13776741</v>
      </c>
      <c r="J135" s="15">
        <f t="shared" si="3"/>
        <v>114.9782588</v>
      </c>
      <c r="K135" s="16" t="str">
        <f t="shared" si="4"/>
        <v>Cluster-1</v>
      </c>
    </row>
    <row r="136" ht="15.75" customHeight="1">
      <c r="A136" s="5">
        <v>7530.0</v>
      </c>
      <c r="B136" s="6">
        <v>57.0</v>
      </c>
      <c r="C136" s="6">
        <v>79.0</v>
      </c>
      <c r="D136" s="6">
        <v>69.0</v>
      </c>
      <c r="E136" s="7" t="s">
        <v>144</v>
      </c>
      <c r="F136" s="7" t="s">
        <v>12</v>
      </c>
      <c r="G136" s="6">
        <v>5.0</v>
      </c>
      <c r="H136" s="8">
        <f t="shared" si="5"/>
        <v>62.62587325</v>
      </c>
      <c r="I136" s="9">
        <f t="shared" si="2"/>
        <v>12.72792206</v>
      </c>
      <c r="J136" s="9">
        <f t="shared" si="3"/>
        <v>46.06517123</v>
      </c>
      <c r="K136" s="17" t="str">
        <f t="shared" si="4"/>
        <v>Cluster-2</v>
      </c>
    </row>
    <row r="137" ht="15.75" customHeight="1">
      <c r="A137" s="11">
        <v>2914.0</v>
      </c>
      <c r="B137" s="12">
        <v>39.0</v>
      </c>
      <c r="C137" s="12">
        <v>76.0</v>
      </c>
      <c r="D137" s="12">
        <v>99.0</v>
      </c>
      <c r="E137" s="13" t="s">
        <v>145</v>
      </c>
      <c r="F137" s="13" t="s">
        <v>12</v>
      </c>
      <c r="G137" s="12">
        <v>5.0</v>
      </c>
      <c r="H137" s="14">
        <f t="shared" si="5"/>
        <v>86.81589716</v>
      </c>
      <c r="I137" s="15">
        <f t="shared" si="2"/>
        <v>39.45883931</v>
      </c>
      <c r="J137" s="15">
        <f t="shared" si="3"/>
        <v>44.91102315</v>
      </c>
      <c r="K137" s="16" t="str">
        <f t="shared" si="4"/>
        <v>Cluster-2</v>
      </c>
    </row>
    <row r="138" ht="15.75" customHeight="1">
      <c r="A138" s="5">
        <v>5864.0</v>
      </c>
      <c r="B138" s="6">
        <v>44.0</v>
      </c>
      <c r="C138" s="6">
        <v>55.0</v>
      </c>
      <c r="D138" s="6">
        <v>12.0</v>
      </c>
      <c r="E138" s="7" t="s">
        <v>146</v>
      </c>
      <c r="F138" s="7" t="s">
        <v>14</v>
      </c>
      <c r="G138" s="6">
        <v>10.0</v>
      </c>
      <c r="H138" s="8">
        <f t="shared" si="5"/>
        <v>17</v>
      </c>
      <c r="I138" s="9">
        <f t="shared" si="2"/>
        <v>50.28916384</v>
      </c>
      <c r="J138" s="9">
        <f t="shared" si="3"/>
        <v>101.5332458</v>
      </c>
      <c r="K138" s="17" t="str">
        <f t="shared" si="4"/>
        <v>Cluster-1</v>
      </c>
    </row>
    <row r="139" ht="15.75" customHeight="1">
      <c r="A139" s="11">
        <v>5502.0</v>
      </c>
      <c r="B139" s="12">
        <v>52.0</v>
      </c>
      <c r="C139" s="12">
        <v>39.0</v>
      </c>
      <c r="D139" s="12">
        <v>25.0</v>
      </c>
      <c r="E139" s="13" t="s">
        <v>147</v>
      </c>
      <c r="F139" s="13" t="s">
        <v>12</v>
      </c>
      <c r="G139" s="12">
        <v>10.0</v>
      </c>
      <c r="H139" s="14">
        <f t="shared" si="5"/>
        <v>5.099019514</v>
      </c>
      <c r="I139" s="15">
        <f t="shared" si="2"/>
        <v>46.75467891</v>
      </c>
      <c r="J139" s="15">
        <f t="shared" si="3"/>
        <v>103.8556691</v>
      </c>
      <c r="K139" s="16" t="str">
        <f t="shared" si="4"/>
        <v>Cluster-1</v>
      </c>
    </row>
    <row r="140" ht="15.75" customHeight="1">
      <c r="A140" s="5">
        <v>1091.0</v>
      </c>
      <c r="B140" s="6">
        <v>18.0</v>
      </c>
      <c r="C140" s="6">
        <v>84.0</v>
      </c>
      <c r="D140" s="6">
        <v>52.0</v>
      </c>
      <c r="E140" s="7" t="s">
        <v>148</v>
      </c>
      <c r="F140" s="7" t="s">
        <v>12</v>
      </c>
      <c r="G140" s="6">
        <v>3.0</v>
      </c>
      <c r="H140" s="8">
        <f t="shared" si="5"/>
        <v>54.40588203</v>
      </c>
      <c r="I140" s="9">
        <f t="shared" si="2"/>
        <v>16.1245155</v>
      </c>
      <c r="J140" s="9">
        <f t="shared" si="3"/>
        <v>52.34500931</v>
      </c>
      <c r="K140" s="17" t="str">
        <f t="shared" si="4"/>
        <v>Cluster-2</v>
      </c>
    </row>
    <row r="141" ht="15.75" customHeight="1">
      <c r="A141" s="11">
        <v>9629.0</v>
      </c>
      <c r="B141" s="12">
        <v>52.0</v>
      </c>
      <c r="C141" s="12">
        <v>27.0</v>
      </c>
      <c r="D141" s="12">
        <v>85.0</v>
      </c>
      <c r="E141" s="13" t="s">
        <v>149</v>
      </c>
      <c r="F141" s="13" t="s">
        <v>14</v>
      </c>
      <c r="G141" s="12">
        <v>1.0</v>
      </c>
      <c r="H141" s="14">
        <f t="shared" si="5"/>
        <v>66.28725368</v>
      </c>
      <c r="I141" s="15">
        <f t="shared" si="2"/>
        <v>49.73932046</v>
      </c>
      <c r="J141" s="15">
        <f t="shared" si="3"/>
        <v>93.13431162</v>
      </c>
      <c r="K141" s="16" t="str">
        <f t="shared" si="4"/>
        <v>Cluster-2</v>
      </c>
    </row>
    <row r="142" ht="15.75" customHeight="1">
      <c r="A142" s="5">
        <v>1382.0</v>
      </c>
      <c r="B142" s="6">
        <v>54.0</v>
      </c>
      <c r="C142" s="6">
        <v>134.0</v>
      </c>
      <c r="D142" s="6">
        <v>100.0</v>
      </c>
      <c r="E142" s="7" t="s">
        <v>150</v>
      </c>
      <c r="F142" s="7" t="s">
        <v>14</v>
      </c>
      <c r="G142" s="6">
        <v>5.0</v>
      </c>
      <c r="H142" s="8">
        <f t="shared" si="5"/>
        <v>123.434193</v>
      </c>
      <c r="I142" s="9">
        <f t="shared" si="2"/>
        <v>75.47184906</v>
      </c>
      <c r="J142" s="9">
        <f t="shared" si="3"/>
        <v>17.20465053</v>
      </c>
      <c r="K142" s="17" t="str">
        <f t="shared" si="4"/>
        <v>Cluster-3</v>
      </c>
    </row>
    <row r="143" ht="15.75" customHeight="1">
      <c r="A143" s="11">
        <v>4667.0</v>
      </c>
      <c r="B143" s="12">
        <v>64.0</v>
      </c>
      <c r="C143" s="12">
        <v>111.0</v>
      </c>
      <c r="D143" s="12">
        <v>53.0</v>
      </c>
      <c r="E143" s="13" t="s">
        <v>149</v>
      </c>
      <c r="F143" s="13" t="s">
        <v>12</v>
      </c>
      <c r="G143" s="12">
        <v>14.0</v>
      </c>
      <c r="H143" s="14">
        <f t="shared" si="5"/>
        <v>78.29431652</v>
      </c>
      <c r="I143" s="15">
        <f t="shared" si="2"/>
        <v>41.59326869</v>
      </c>
      <c r="J143" s="15">
        <f t="shared" si="3"/>
        <v>38.07886553</v>
      </c>
      <c r="K143" s="16" t="str">
        <f t="shared" si="4"/>
        <v>Cluster-3</v>
      </c>
    </row>
    <row r="144" ht="15.75" customHeight="1">
      <c r="A144" s="5">
        <v>9409.0</v>
      </c>
      <c r="B144" s="6">
        <v>31.0</v>
      </c>
      <c r="C144" s="6">
        <v>117.0</v>
      </c>
      <c r="D144" s="6">
        <v>23.0</v>
      </c>
      <c r="E144" s="7" t="s">
        <v>151</v>
      </c>
      <c r="F144" s="7" t="s">
        <v>14</v>
      </c>
      <c r="G144" s="6">
        <v>9.0</v>
      </c>
      <c r="H144" s="8">
        <f t="shared" si="5"/>
        <v>77.0584194</v>
      </c>
      <c r="I144" s="9">
        <f t="shared" si="2"/>
        <v>59.81638571</v>
      </c>
      <c r="J144" s="9">
        <f t="shared" si="3"/>
        <v>67.06713055</v>
      </c>
      <c r="K144" s="17" t="str">
        <f t="shared" si="4"/>
        <v>Cluster-2</v>
      </c>
    </row>
    <row r="145" ht="15.75" customHeight="1">
      <c r="A145" s="11">
        <v>8788.0</v>
      </c>
      <c r="B145" s="12">
        <v>20.0</v>
      </c>
      <c r="C145" s="12">
        <v>85.0</v>
      </c>
      <c r="D145" s="12">
        <v>16.0</v>
      </c>
      <c r="E145" s="13" t="s">
        <v>152</v>
      </c>
      <c r="F145" s="13" t="s">
        <v>14</v>
      </c>
      <c r="G145" s="12">
        <v>14.0</v>
      </c>
      <c r="H145" s="14">
        <f t="shared" si="5"/>
        <v>45.17742799</v>
      </c>
      <c r="I145" s="15">
        <f t="shared" si="2"/>
        <v>46.4865572</v>
      </c>
      <c r="J145" s="15">
        <f t="shared" si="3"/>
        <v>81.85963596</v>
      </c>
      <c r="K145" s="16" t="str">
        <f t="shared" si="4"/>
        <v>Cluster-1</v>
      </c>
    </row>
    <row r="146" ht="15.75" customHeight="1">
      <c r="A146" s="5">
        <v>5292.0</v>
      </c>
      <c r="B146" s="6">
        <v>18.0</v>
      </c>
      <c r="C146" s="6">
        <v>51.0</v>
      </c>
      <c r="D146" s="6">
        <v>57.0</v>
      </c>
      <c r="E146" s="7" t="s">
        <v>153</v>
      </c>
      <c r="F146" s="7" t="s">
        <v>14</v>
      </c>
      <c r="G146" s="6">
        <v>1.0</v>
      </c>
      <c r="H146" s="8">
        <f t="shared" si="5"/>
        <v>38.60051813</v>
      </c>
      <c r="I146" s="9">
        <f t="shared" si="2"/>
        <v>19.23538406</v>
      </c>
      <c r="J146" s="9">
        <f t="shared" si="3"/>
        <v>76.4852927</v>
      </c>
      <c r="K146" s="17" t="str">
        <f t="shared" si="4"/>
        <v>Cluster-2</v>
      </c>
    </row>
    <row r="147" ht="15.75" customHeight="1">
      <c r="A147" s="11">
        <v>4626.0</v>
      </c>
      <c r="B147" s="12">
        <v>22.0</v>
      </c>
      <c r="C147" s="12">
        <v>105.0</v>
      </c>
      <c r="D147" s="12">
        <v>39.0</v>
      </c>
      <c r="E147" s="13" t="s">
        <v>154</v>
      </c>
      <c r="F147" s="13" t="s">
        <v>14</v>
      </c>
      <c r="G147" s="12">
        <v>3.0</v>
      </c>
      <c r="H147" s="14">
        <f t="shared" si="5"/>
        <v>67.72001181</v>
      </c>
      <c r="I147" s="15">
        <f t="shared" si="2"/>
        <v>40.81666326</v>
      </c>
      <c r="J147" s="15">
        <f t="shared" si="3"/>
        <v>53.16013544</v>
      </c>
      <c r="K147" s="16" t="str">
        <f t="shared" si="4"/>
        <v>Cluster-2</v>
      </c>
    </row>
    <row r="148" ht="15.75" customHeight="1">
      <c r="A148" s="5">
        <v>3846.0</v>
      </c>
      <c r="B148" s="6">
        <v>43.0</v>
      </c>
      <c r="C148" s="6">
        <v>70.0</v>
      </c>
      <c r="D148" s="6">
        <v>53.0</v>
      </c>
      <c r="E148" s="7" t="s">
        <v>155</v>
      </c>
      <c r="F148" s="7" t="s">
        <v>12</v>
      </c>
      <c r="G148" s="6">
        <v>13.0</v>
      </c>
      <c r="H148" s="8">
        <f t="shared" si="5"/>
        <v>44.59820624</v>
      </c>
      <c r="I148" s="9">
        <f t="shared" si="2"/>
        <v>7</v>
      </c>
      <c r="J148" s="9">
        <f t="shared" si="3"/>
        <v>62.20128616</v>
      </c>
      <c r="K148" s="17" t="str">
        <f t="shared" si="4"/>
        <v>Cluster-2</v>
      </c>
    </row>
    <row r="149" ht="15.75" customHeight="1">
      <c r="A149" s="11">
        <v>3668.0</v>
      </c>
      <c r="B149" s="12">
        <v>31.0</v>
      </c>
      <c r="C149" s="12">
        <v>82.0</v>
      </c>
      <c r="D149" s="12">
        <v>42.0</v>
      </c>
      <c r="E149" s="13" t="s">
        <v>156</v>
      </c>
      <c r="F149" s="13" t="s">
        <v>12</v>
      </c>
      <c r="G149" s="12">
        <v>13.0</v>
      </c>
      <c r="H149" s="14">
        <f t="shared" si="5"/>
        <v>47.41307836</v>
      </c>
      <c r="I149" s="15">
        <f t="shared" si="2"/>
        <v>21.63330765</v>
      </c>
      <c r="J149" s="15">
        <f t="shared" si="3"/>
        <v>61.22091146</v>
      </c>
      <c r="K149" s="16" t="str">
        <f t="shared" si="4"/>
        <v>Cluster-2</v>
      </c>
    </row>
    <row r="150" ht="15.75" customHeight="1">
      <c r="A150" s="5">
        <v>1911.0</v>
      </c>
      <c r="B150" s="6">
        <v>56.0</v>
      </c>
      <c r="C150" s="6">
        <v>144.0</v>
      </c>
      <c r="D150" s="6">
        <v>58.0</v>
      </c>
      <c r="E150" s="7" t="s">
        <v>157</v>
      </c>
      <c r="F150" s="7" t="s">
        <v>14</v>
      </c>
      <c r="G150" s="6">
        <v>4.0</v>
      </c>
      <c r="H150" s="8">
        <f t="shared" si="5"/>
        <v>110.7248843</v>
      </c>
      <c r="I150" s="9">
        <f t="shared" si="2"/>
        <v>74.02702209</v>
      </c>
      <c r="J150" s="9">
        <f t="shared" si="3"/>
        <v>40</v>
      </c>
      <c r="K150" s="17" t="str">
        <f t="shared" si="4"/>
        <v>Cluster-3</v>
      </c>
    </row>
    <row r="151" ht="15.75" customHeight="1">
      <c r="A151" s="11">
        <v>3324.0</v>
      </c>
      <c r="B151" s="12">
        <v>44.0</v>
      </c>
      <c r="C151" s="12">
        <v>77.0</v>
      </c>
      <c r="D151" s="12">
        <v>39.0</v>
      </c>
      <c r="E151" s="13" t="s">
        <v>158</v>
      </c>
      <c r="F151" s="13" t="s">
        <v>12</v>
      </c>
      <c r="G151" s="12">
        <v>14.0</v>
      </c>
      <c r="H151" s="14">
        <f t="shared" si="5"/>
        <v>41.59326869</v>
      </c>
      <c r="I151" s="15">
        <f t="shared" si="2"/>
        <v>22.13594362</v>
      </c>
      <c r="J151" s="15">
        <f t="shared" si="3"/>
        <v>66.70832032</v>
      </c>
      <c r="K151" s="16" t="str">
        <f t="shared" si="4"/>
        <v>Cluster-2</v>
      </c>
    </row>
    <row r="152" ht="15.75" customHeight="1">
      <c r="A152" s="5">
        <v>6054.0</v>
      </c>
      <c r="B152" s="6">
        <v>26.0</v>
      </c>
      <c r="C152" s="6">
        <v>77.0</v>
      </c>
      <c r="D152" s="6">
        <v>14.0</v>
      </c>
      <c r="E152" s="7" t="s">
        <v>159</v>
      </c>
      <c r="F152" s="7" t="s">
        <v>14</v>
      </c>
      <c r="G152" s="6">
        <v>1.0</v>
      </c>
      <c r="H152" s="8">
        <f t="shared" si="5"/>
        <v>37.48332963</v>
      </c>
      <c r="I152" s="9">
        <f t="shared" si="2"/>
        <v>46.5295605</v>
      </c>
      <c r="J152" s="9">
        <f t="shared" si="3"/>
        <v>87.32124598</v>
      </c>
      <c r="K152" s="17" t="str">
        <f t="shared" si="4"/>
        <v>Cluster-1</v>
      </c>
    </row>
    <row r="153" ht="15.75" customHeight="1">
      <c r="A153" s="11">
        <v>7466.0</v>
      </c>
      <c r="B153" s="12">
        <v>32.0</v>
      </c>
      <c r="C153" s="12">
        <v>105.0</v>
      </c>
      <c r="D153" s="12">
        <v>95.0</v>
      </c>
      <c r="E153" s="13" t="s">
        <v>160</v>
      </c>
      <c r="F153" s="13" t="s">
        <v>14</v>
      </c>
      <c r="G153" s="12">
        <v>1.0</v>
      </c>
      <c r="H153" s="14">
        <f t="shared" si="5"/>
        <v>99.24716621</v>
      </c>
      <c r="I153" s="15">
        <f t="shared" si="2"/>
        <v>49.49747468</v>
      </c>
      <c r="J153" s="15">
        <f t="shared" si="3"/>
        <v>15.8113883</v>
      </c>
      <c r="K153" s="16" t="str">
        <f t="shared" si="4"/>
        <v>Cluster-3</v>
      </c>
    </row>
    <row r="154" ht="15.75" customHeight="1">
      <c r="A154" s="5">
        <v>9498.0</v>
      </c>
      <c r="B154" s="6">
        <v>32.0</v>
      </c>
      <c r="C154" s="6">
        <v>68.0</v>
      </c>
      <c r="D154" s="6">
        <v>5.0</v>
      </c>
      <c r="E154" s="7" t="s">
        <v>161</v>
      </c>
      <c r="F154" s="7" t="s">
        <v>14</v>
      </c>
      <c r="G154" s="6">
        <v>8.0</v>
      </c>
      <c r="H154" s="8">
        <f t="shared" si="5"/>
        <v>31.76476035</v>
      </c>
      <c r="I154" s="9">
        <f t="shared" si="2"/>
        <v>55.03635162</v>
      </c>
      <c r="J154" s="9">
        <f t="shared" si="3"/>
        <v>99.64436763</v>
      </c>
      <c r="K154" s="17" t="str">
        <f t="shared" si="4"/>
        <v>Cluster-1</v>
      </c>
    </row>
    <row r="155" ht="15.75" customHeight="1">
      <c r="A155" s="11">
        <v>4580.0</v>
      </c>
      <c r="B155" s="12">
        <v>43.0</v>
      </c>
      <c r="C155" s="12">
        <v>89.0</v>
      </c>
      <c r="D155" s="12">
        <v>35.0</v>
      </c>
      <c r="E155" s="13" t="s">
        <v>162</v>
      </c>
      <c r="F155" s="13" t="s">
        <v>14</v>
      </c>
      <c r="G155" s="12">
        <v>2.0</v>
      </c>
      <c r="H155" s="14">
        <f t="shared" si="5"/>
        <v>51.2445119</v>
      </c>
      <c r="I155" s="15">
        <f t="shared" si="2"/>
        <v>31.40063694</v>
      </c>
      <c r="J155" s="15">
        <f t="shared" si="3"/>
        <v>63.13477647</v>
      </c>
      <c r="K155" s="16" t="str">
        <f t="shared" si="4"/>
        <v>Cluster-2</v>
      </c>
    </row>
    <row r="156" ht="15.75" customHeight="1">
      <c r="A156" s="5">
        <v>6892.0</v>
      </c>
      <c r="B156" s="6">
        <v>59.0</v>
      </c>
      <c r="C156" s="6">
        <v>34.0</v>
      </c>
      <c r="D156" s="6">
        <v>87.0</v>
      </c>
      <c r="E156" s="7" t="s">
        <v>163</v>
      </c>
      <c r="F156" s="7" t="s">
        <v>14</v>
      </c>
      <c r="G156" s="6">
        <v>12.0</v>
      </c>
      <c r="H156" s="8">
        <f t="shared" si="5"/>
        <v>67.26812024</v>
      </c>
      <c r="I156" s="9">
        <f t="shared" si="2"/>
        <v>45</v>
      </c>
      <c r="J156" s="9">
        <f t="shared" si="3"/>
        <v>86.05230967</v>
      </c>
      <c r="K156" s="17" t="str">
        <f t="shared" si="4"/>
        <v>Cluster-2</v>
      </c>
    </row>
    <row r="157" ht="15.75" customHeight="1">
      <c r="A157" s="11">
        <v>9632.0</v>
      </c>
      <c r="B157" s="12">
        <v>30.0</v>
      </c>
      <c r="C157" s="12">
        <v>73.0</v>
      </c>
      <c r="D157" s="12">
        <v>93.0</v>
      </c>
      <c r="E157" s="13" t="s">
        <v>164</v>
      </c>
      <c r="F157" s="13" t="s">
        <v>14</v>
      </c>
      <c r="G157" s="12">
        <v>8.0</v>
      </c>
      <c r="H157" s="14">
        <f t="shared" si="5"/>
        <v>80.11242101</v>
      </c>
      <c r="I157" s="15">
        <f t="shared" si="2"/>
        <v>33.13608305</v>
      </c>
      <c r="J157" s="15">
        <f t="shared" si="3"/>
        <v>47.09564736</v>
      </c>
      <c r="K157" s="16" t="str">
        <f t="shared" si="4"/>
        <v>Cluster-2</v>
      </c>
    </row>
    <row r="158" ht="15.75" customHeight="1">
      <c r="A158" s="5">
        <v>6724.0</v>
      </c>
      <c r="B158" s="6">
        <v>68.0</v>
      </c>
      <c r="C158" s="6">
        <v>120.0</v>
      </c>
      <c r="D158" s="6">
        <v>75.0</v>
      </c>
      <c r="E158" s="7" t="s">
        <v>165</v>
      </c>
      <c r="F158" s="7" t="s">
        <v>12</v>
      </c>
      <c r="G158" s="6">
        <v>7.0</v>
      </c>
      <c r="H158" s="8">
        <f t="shared" si="5"/>
        <v>97.08243919</v>
      </c>
      <c r="I158" s="9">
        <f t="shared" si="2"/>
        <v>52.20153254</v>
      </c>
      <c r="J158" s="9">
        <f t="shared" si="3"/>
        <v>15</v>
      </c>
      <c r="K158" s="17" t="str">
        <f t="shared" si="4"/>
        <v>Cluster-3</v>
      </c>
    </row>
    <row r="159" ht="15.75" customHeight="1">
      <c r="A159" s="11">
        <v>1904.0</v>
      </c>
      <c r="B159" s="12">
        <v>49.0</v>
      </c>
      <c r="C159" s="12">
        <v>27.0</v>
      </c>
      <c r="D159" s="12">
        <v>18.0</v>
      </c>
      <c r="E159" s="13" t="s">
        <v>166</v>
      </c>
      <c r="F159" s="13" t="s">
        <v>14</v>
      </c>
      <c r="G159" s="12">
        <v>10.0</v>
      </c>
      <c r="H159" s="14">
        <f t="shared" si="5"/>
        <v>13.15294644</v>
      </c>
      <c r="I159" s="15">
        <f t="shared" si="2"/>
        <v>60.10823571</v>
      </c>
      <c r="J159" s="15">
        <f t="shared" si="3"/>
        <v>117.6137747</v>
      </c>
      <c r="K159" s="16" t="str">
        <f t="shared" si="4"/>
        <v>Cluster-1</v>
      </c>
    </row>
    <row r="160" ht="15.75" customHeight="1">
      <c r="A160" s="5">
        <v>5204.0</v>
      </c>
      <c r="B160" s="6">
        <v>56.0</v>
      </c>
      <c r="C160" s="6">
        <v>72.0</v>
      </c>
      <c r="D160" s="6">
        <v>76.0</v>
      </c>
      <c r="E160" s="7" t="s">
        <v>167</v>
      </c>
      <c r="F160" s="7" t="s">
        <v>12</v>
      </c>
      <c r="G160" s="6">
        <v>10.0</v>
      </c>
      <c r="H160" s="8">
        <f t="shared" si="5"/>
        <v>64.49806199</v>
      </c>
      <c r="I160" s="9">
        <f t="shared" si="2"/>
        <v>16.1245155</v>
      </c>
      <c r="J160" s="9">
        <f t="shared" si="3"/>
        <v>50</v>
      </c>
      <c r="K160" s="17" t="str">
        <f t="shared" si="4"/>
        <v>Cluster-2</v>
      </c>
    </row>
    <row r="161" ht="15.75" customHeight="1">
      <c r="A161" s="11">
        <v>5909.0</v>
      </c>
      <c r="B161" s="12">
        <v>66.0</v>
      </c>
      <c r="C161" s="12">
        <v>79.0</v>
      </c>
      <c r="D161" s="12">
        <v>9.0</v>
      </c>
      <c r="E161" s="13" t="s">
        <v>168</v>
      </c>
      <c r="F161" s="13" t="s">
        <v>14</v>
      </c>
      <c r="G161" s="12">
        <v>2.0</v>
      </c>
      <c r="H161" s="14">
        <f t="shared" si="5"/>
        <v>40.52159918</v>
      </c>
      <c r="I161" s="15">
        <f t="shared" si="2"/>
        <v>51.7880295</v>
      </c>
      <c r="J161" s="15">
        <f t="shared" si="3"/>
        <v>90.78546139</v>
      </c>
      <c r="K161" s="16" t="str">
        <f t="shared" si="4"/>
        <v>Cluster-1</v>
      </c>
    </row>
    <row r="162" ht="15.75" customHeight="1">
      <c r="A162" s="5">
        <v>6803.0</v>
      </c>
      <c r="B162" s="6">
        <v>69.0</v>
      </c>
      <c r="C162" s="6">
        <v>127.0</v>
      </c>
      <c r="D162" s="6">
        <v>74.0</v>
      </c>
      <c r="E162" s="7" t="s">
        <v>169</v>
      </c>
      <c r="F162" s="7" t="s">
        <v>14</v>
      </c>
      <c r="G162" s="6">
        <v>6.0</v>
      </c>
      <c r="H162" s="8">
        <f t="shared" si="5"/>
        <v>102.396289</v>
      </c>
      <c r="I162" s="9">
        <f t="shared" si="2"/>
        <v>58.69412236</v>
      </c>
      <c r="J162" s="9">
        <f t="shared" si="3"/>
        <v>17.4642492</v>
      </c>
      <c r="K162" s="17" t="str">
        <f t="shared" si="4"/>
        <v>Cluster-3</v>
      </c>
    </row>
    <row r="163" ht="15.75" customHeight="1">
      <c r="A163" s="11">
        <v>9351.0</v>
      </c>
      <c r="B163" s="12">
        <v>49.0</v>
      </c>
      <c r="C163" s="12">
        <v>24.0</v>
      </c>
      <c r="D163" s="12">
        <v>58.0</v>
      </c>
      <c r="E163" s="13" t="s">
        <v>170</v>
      </c>
      <c r="F163" s="13" t="s">
        <v>14</v>
      </c>
      <c r="G163" s="12">
        <v>6.0</v>
      </c>
      <c r="H163" s="14">
        <f t="shared" si="5"/>
        <v>41.23105626</v>
      </c>
      <c r="I163" s="15">
        <f t="shared" si="2"/>
        <v>46.04345773</v>
      </c>
      <c r="J163" s="15">
        <f t="shared" si="3"/>
        <v>101.1928851</v>
      </c>
      <c r="K163" s="16" t="str">
        <f t="shared" si="4"/>
        <v>Cluster-1</v>
      </c>
    </row>
    <row r="164" ht="15.75" customHeight="1">
      <c r="A164" s="5">
        <v>9789.0</v>
      </c>
      <c r="B164" s="6">
        <v>21.0</v>
      </c>
      <c r="C164" s="6">
        <v>122.0</v>
      </c>
      <c r="D164" s="6">
        <v>17.0</v>
      </c>
      <c r="E164" s="7" t="s">
        <v>171</v>
      </c>
      <c r="F164" s="7" t="s">
        <v>14</v>
      </c>
      <c r="G164" s="6">
        <v>3.0</v>
      </c>
      <c r="H164" s="8">
        <f t="shared" si="5"/>
        <v>82.0548597</v>
      </c>
      <c r="I164" s="9">
        <f t="shared" si="2"/>
        <v>67.47592163</v>
      </c>
      <c r="J164" s="9">
        <f t="shared" si="3"/>
        <v>73.02739212</v>
      </c>
      <c r="K164" s="17" t="str">
        <f t="shared" si="4"/>
        <v>Cluster-2</v>
      </c>
    </row>
    <row r="165" ht="15.75" customHeight="1">
      <c r="A165" s="11">
        <v>4413.0</v>
      </c>
      <c r="B165" s="12">
        <v>47.0</v>
      </c>
      <c r="C165" s="12">
        <v>25.0</v>
      </c>
      <c r="D165" s="12">
        <v>7.0</v>
      </c>
      <c r="E165" s="13" t="s">
        <v>172</v>
      </c>
      <c r="F165" s="13" t="s">
        <v>12</v>
      </c>
      <c r="G165" s="12">
        <v>11.0</v>
      </c>
      <c r="H165" s="14">
        <f t="shared" si="5"/>
        <v>19.84943324</v>
      </c>
      <c r="I165" s="15">
        <f t="shared" si="2"/>
        <v>69.52697318</v>
      </c>
      <c r="J165" s="15">
        <f t="shared" si="3"/>
        <v>126.1507035</v>
      </c>
      <c r="K165" s="16" t="str">
        <f t="shared" si="4"/>
        <v>Cluster-1</v>
      </c>
    </row>
    <row r="166" ht="15.75" customHeight="1">
      <c r="A166" s="5">
        <v>3906.0</v>
      </c>
      <c r="B166" s="6">
        <v>54.0</v>
      </c>
      <c r="C166" s="6">
        <v>128.0</v>
      </c>
      <c r="D166" s="6">
        <v>46.0</v>
      </c>
      <c r="E166" s="7" t="s">
        <v>173</v>
      </c>
      <c r="F166" s="7" t="s">
        <v>12</v>
      </c>
      <c r="G166" s="6">
        <v>2.0</v>
      </c>
      <c r="H166" s="8">
        <f t="shared" si="5"/>
        <v>91.76055798</v>
      </c>
      <c r="I166" s="9">
        <f t="shared" si="2"/>
        <v>59.66573556</v>
      </c>
      <c r="J166" s="9">
        <f t="shared" si="3"/>
        <v>44.72135955</v>
      </c>
      <c r="K166" s="17" t="str">
        <f t="shared" si="4"/>
        <v>Cluster-3</v>
      </c>
    </row>
    <row r="167" ht="15.75" customHeight="1">
      <c r="A167" s="11">
        <v>8150.0</v>
      </c>
      <c r="B167" s="12">
        <v>40.0</v>
      </c>
      <c r="C167" s="12">
        <v>135.0</v>
      </c>
      <c r="D167" s="12">
        <v>13.0</v>
      </c>
      <c r="E167" s="13" t="s">
        <v>174</v>
      </c>
      <c r="F167" s="13" t="s">
        <v>12</v>
      </c>
      <c r="G167" s="12">
        <v>12.0</v>
      </c>
      <c r="H167" s="14">
        <f t="shared" si="5"/>
        <v>95.25754563</v>
      </c>
      <c r="I167" s="15">
        <f t="shared" si="2"/>
        <v>80.21221852</v>
      </c>
      <c r="J167" s="15">
        <f t="shared" si="3"/>
        <v>78.44743463</v>
      </c>
      <c r="K167" s="16" t="str">
        <f t="shared" si="4"/>
        <v>Cluster-3</v>
      </c>
    </row>
    <row r="168" ht="15.75" customHeight="1">
      <c r="A168" s="5">
        <v>5995.0</v>
      </c>
      <c r="B168" s="6">
        <v>56.0</v>
      </c>
      <c r="C168" s="6">
        <v>113.0</v>
      </c>
      <c r="D168" s="6">
        <v>40.0</v>
      </c>
      <c r="E168" s="7" t="s">
        <v>175</v>
      </c>
      <c r="F168" s="7" t="s">
        <v>14</v>
      </c>
      <c r="G168" s="6">
        <v>1.0</v>
      </c>
      <c r="H168" s="8">
        <f t="shared" si="5"/>
        <v>75.69015788</v>
      </c>
      <c r="I168" s="9">
        <f t="shared" si="2"/>
        <v>47.42362281</v>
      </c>
      <c r="J168" s="9">
        <f t="shared" si="3"/>
        <v>50.48762225</v>
      </c>
      <c r="K168" s="17" t="str">
        <f t="shared" si="4"/>
        <v>Cluster-2</v>
      </c>
    </row>
    <row r="169" ht="15.75" customHeight="1">
      <c r="A169" s="11">
        <v>3275.0</v>
      </c>
      <c r="B169" s="12">
        <v>62.0</v>
      </c>
      <c r="C169" s="12">
        <v>66.0</v>
      </c>
      <c r="D169" s="12">
        <v>42.0</v>
      </c>
      <c r="E169" s="13" t="s">
        <v>176</v>
      </c>
      <c r="F169" s="13" t="s">
        <v>12</v>
      </c>
      <c r="G169" s="12">
        <v>6.0</v>
      </c>
      <c r="H169" s="14">
        <f t="shared" si="5"/>
        <v>34.05877273</v>
      </c>
      <c r="I169" s="15">
        <f t="shared" si="2"/>
        <v>18.43908891</v>
      </c>
      <c r="J169" s="15">
        <f t="shared" si="3"/>
        <v>72.24956747</v>
      </c>
      <c r="K169" s="16" t="str">
        <f t="shared" si="4"/>
        <v>Cluster-2</v>
      </c>
    </row>
    <row r="170" ht="15.75" customHeight="1">
      <c r="A170" s="5">
        <v>2561.0</v>
      </c>
      <c r="B170" s="6">
        <v>32.0</v>
      </c>
      <c r="C170" s="6">
        <v>118.0</v>
      </c>
      <c r="D170" s="6">
        <v>9.0</v>
      </c>
      <c r="E170" s="7" t="s">
        <v>177</v>
      </c>
      <c r="F170" s="7" t="s">
        <v>12</v>
      </c>
      <c r="G170" s="6">
        <v>12.0</v>
      </c>
      <c r="H170" s="8">
        <f t="shared" si="5"/>
        <v>78.77182237</v>
      </c>
      <c r="I170" s="9">
        <f t="shared" si="2"/>
        <v>70.03570518</v>
      </c>
      <c r="J170" s="9">
        <f t="shared" si="3"/>
        <v>81.0246876</v>
      </c>
      <c r="K170" s="17" t="str">
        <f t="shared" si="4"/>
        <v>Cluster-2</v>
      </c>
    </row>
    <row r="171" ht="15.75" customHeight="1">
      <c r="A171" s="11">
        <v>1394.0</v>
      </c>
      <c r="B171" s="12">
        <v>60.0</v>
      </c>
      <c r="C171" s="12">
        <v>74.0</v>
      </c>
      <c r="D171" s="12">
        <v>50.0</v>
      </c>
      <c r="E171" s="13" t="s">
        <v>178</v>
      </c>
      <c r="F171" s="13" t="s">
        <v>14</v>
      </c>
      <c r="G171" s="12">
        <v>5.0</v>
      </c>
      <c r="H171" s="14">
        <f t="shared" si="5"/>
        <v>45.3431362</v>
      </c>
      <c r="I171" s="15">
        <f t="shared" si="2"/>
        <v>10.77032961</v>
      </c>
      <c r="J171" s="15">
        <f t="shared" si="3"/>
        <v>60.95900262</v>
      </c>
      <c r="K171" s="16" t="str">
        <f t="shared" si="4"/>
        <v>Cluster-2</v>
      </c>
    </row>
    <row r="172" ht="15.75" customHeight="1">
      <c r="A172" s="5">
        <v>1669.0</v>
      </c>
      <c r="B172" s="6">
        <v>46.0</v>
      </c>
      <c r="C172" s="6">
        <v>71.0</v>
      </c>
      <c r="D172" s="6">
        <v>27.0</v>
      </c>
      <c r="E172" s="7" t="s">
        <v>179</v>
      </c>
      <c r="F172" s="7" t="s">
        <v>14</v>
      </c>
      <c r="G172" s="6">
        <v>14.0</v>
      </c>
      <c r="H172" s="8">
        <f t="shared" si="5"/>
        <v>31.78049716</v>
      </c>
      <c r="I172" s="9">
        <f t="shared" si="2"/>
        <v>33.01514804</v>
      </c>
      <c r="J172" s="9">
        <f t="shared" si="3"/>
        <v>79.81227976</v>
      </c>
      <c r="K172" s="17" t="str">
        <f t="shared" si="4"/>
        <v>Cluster-1</v>
      </c>
    </row>
    <row r="173" ht="15.75" customHeight="1">
      <c r="A173" s="11">
        <v>2830.0</v>
      </c>
      <c r="B173" s="12">
        <v>53.0</v>
      </c>
      <c r="C173" s="12">
        <v>32.0</v>
      </c>
      <c r="D173" s="12">
        <v>66.0</v>
      </c>
      <c r="E173" s="13" t="s">
        <v>180</v>
      </c>
      <c r="F173" s="13" t="s">
        <v>12</v>
      </c>
      <c r="G173" s="12">
        <v>14.0</v>
      </c>
      <c r="H173" s="14">
        <f t="shared" si="5"/>
        <v>46.69047012</v>
      </c>
      <c r="I173" s="15">
        <f t="shared" si="2"/>
        <v>38.47076812</v>
      </c>
      <c r="J173" s="15">
        <f t="shared" si="3"/>
        <v>91.21403401</v>
      </c>
      <c r="K173" s="16" t="str">
        <f t="shared" si="4"/>
        <v>Cluster-2</v>
      </c>
    </row>
    <row r="174" ht="15.75" customHeight="1">
      <c r="A174" s="5">
        <v>7740.0</v>
      </c>
      <c r="B174" s="6">
        <v>30.0</v>
      </c>
      <c r="C174" s="6">
        <v>133.0</v>
      </c>
      <c r="D174" s="6">
        <v>5.0</v>
      </c>
      <c r="E174" s="7" t="s">
        <v>181</v>
      </c>
      <c r="F174" s="7" t="s">
        <v>14</v>
      </c>
      <c r="G174" s="6">
        <v>11.0</v>
      </c>
      <c r="H174" s="8">
        <f t="shared" si="5"/>
        <v>94.20191081</v>
      </c>
      <c r="I174" s="9">
        <f t="shared" si="2"/>
        <v>83.63013811</v>
      </c>
      <c r="J174" s="9">
        <f t="shared" si="3"/>
        <v>85.98837131</v>
      </c>
      <c r="K174" s="17" t="str">
        <f t="shared" si="4"/>
        <v>Cluster-2</v>
      </c>
    </row>
    <row r="175" ht="15.75" customHeight="1">
      <c r="A175" s="11">
        <v>2478.0</v>
      </c>
      <c r="B175" s="12">
        <v>49.0</v>
      </c>
      <c r="C175" s="12">
        <v>143.0</v>
      </c>
      <c r="D175" s="12">
        <v>29.0</v>
      </c>
      <c r="E175" s="13" t="s">
        <v>182</v>
      </c>
      <c r="F175" s="13" t="s">
        <v>14</v>
      </c>
      <c r="G175" s="12">
        <v>9.0</v>
      </c>
      <c r="H175" s="14">
        <f t="shared" si="5"/>
        <v>103.3924562</v>
      </c>
      <c r="I175" s="15">
        <f t="shared" si="2"/>
        <v>79.30952024</v>
      </c>
      <c r="J175" s="15">
        <f t="shared" si="3"/>
        <v>65.19202405</v>
      </c>
      <c r="K175" s="16" t="str">
        <f t="shared" si="4"/>
        <v>Cluster-3</v>
      </c>
    </row>
    <row r="176" ht="15.75" customHeight="1">
      <c r="A176" s="5">
        <v>5985.0</v>
      </c>
      <c r="B176" s="6">
        <v>24.0</v>
      </c>
      <c r="C176" s="6">
        <v>125.0</v>
      </c>
      <c r="D176" s="6">
        <v>37.0</v>
      </c>
      <c r="E176" s="7" t="s">
        <v>183</v>
      </c>
      <c r="F176" s="7" t="s">
        <v>14</v>
      </c>
      <c r="G176" s="6">
        <v>1.0</v>
      </c>
      <c r="H176" s="8">
        <f t="shared" si="5"/>
        <v>86.68333173</v>
      </c>
      <c r="I176" s="9">
        <f t="shared" si="2"/>
        <v>59.61543424</v>
      </c>
      <c r="J176" s="9">
        <f t="shared" si="3"/>
        <v>53.23532662</v>
      </c>
      <c r="K176" s="17" t="str">
        <f t="shared" si="4"/>
        <v>Cluster-3</v>
      </c>
    </row>
    <row r="177" ht="15.75" customHeight="1">
      <c r="A177" s="11">
        <v>5531.0</v>
      </c>
      <c r="B177" s="12">
        <v>68.0</v>
      </c>
      <c r="C177" s="12">
        <v>139.0</v>
      </c>
      <c r="D177" s="12">
        <v>38.0</v>
      </c>
      <c r="E177" s="13" t="s">
        <v>184</v>
      </c>
      <c r="F177" s="13" t="s">
        <v>14</v>
      </c>
      <c r="G177" s="12">
        <v>7.0</v>
      </c>
      <c r="H177" s="14">
        <f t="shared" si="5"/>
        <v>100.623059</v>
      </c>
      <c r="I177" s="15">
        <f t="shared" si="2"/>
        <v>72.42237223</v>
      </c>
      <c r="J177" s="15">
        <f t="shared" si="3"/>
        <v>55.36244214</v>
      </c>
      <c r="K177" s="16" t="str">
        <f t="shared" si="4"/>
        <v>Cluster-3</v>
      </c>
    </row>
    <row r="178" ht="15.75" customHeight="1">
      <c r="A178" s="5">
        <v>2310.0</v>
      </c>
      <c r="B178" s="6">
        <v>39.0</v>
      </c>
      <c r="C178" s="6">
        <v>82.0</v>
      </c>
      <c r="D178" s="6">
        <v>83.0</v>
      </c>
      <c r="E178" s="7" t="s">
        <v>185</v>
      </c>
      <c r="F178" s="7" t="s">
        <v>12</v>
      </c>
      <c r="G178" s="6">
        <v>5.0</v>
      </c>
      <c r="H178" s="8">
        <f t="shared" si="5"/>
        <v>75.71657678</v>
      </c>
      <c r="I178" s="9">
        <f t="shared" si="2"/>
        <v>25.94224354</v>
      </c>
      <c r="J178" s="9">
        <f t="shared" si="3"/>
        <v>38.63935817</v>
      </c>
      <c r="K178" s="17" t="str">
        <f t="shared" si="4"/>
        <v>Cluster-2</v>
      </c>
    </row>
    <row r="179" ht="15.75" customHeight="1">
      <c r="A179" s="11">
        <v>4523.0</v>
      </c>
      <c r="B179" s="12">
        <v>45.0</v>
      </c>
      <c r="C179" s="12">
        <v>38.0</v>
      </c>
      <c r="D179" s="12">
        <v>8.0</v>
      </c>
      <c r="E179" s="13" t="s">
        <v>186</v>
      </c>
      <c r="F179" s="13" t="s">
        <v>14</v>
      </c>
      <c r="G179" s="12">
        <v>5.0</v>
      </c>
      <c r="H179" s="14">
        <f t="shared" si="5"/>
        <v>12.16552506</v>
      </c>
      <c r="I179" s="15">
        <f t="shared" si="2"/>
        <v>61.05735009</v>
      </c>
      <c r="J179" s="15">
        <f t="shared" si="3"/>
        <v>115.9655121</v>
      </c>
      <c r="K179" s="16" t="str">
        <f t="shared" si="4"/>
        <v>Cluster-1</v>
      </c>
    </row>
    <row r="180" ht="15.75" customHeight="1">
      <c r="A180" s="5">
        <v>7839.0</v>
      </c>
      <c r="B180" s="6">
        <v>19.0</v>
      </c>
      <c r="C180" s="6">
        <v>111.0</v>
      </c>
      <c r="D180" s="6">
        <v>65.0</v>
      </c>
      <c r="E180" s="7" t="s">
        <v>187</v>
      </c>
      <c r="F180" s="7" t="s">
        <v>14</v>
      </c>
      <c r="G180" s="6">
        <v>14.0</v>
      </c>
      <c r="H180" s="8">
        <f t="shared" si="5"/>
        <v>84.05950273</v>
      </c>
      <c r="I180" s="9">
        <f t="shared" si="2"/>
        <v>41.30375286</v>
      </c>
      <c r="J180" s="9">
        <f t="shared" si="3"/>
        <v>26.57066051</v>
      </c>
      <c r="K180" s="17" t="str">
        <f t="shared" si="4"/>
        <v>Cluster-3</v>
      </c>
    </row>
    <row r="181" ht="15.75" customHeight="1">
      <c r="A181" s="11">
        <v>8676.0</v>
      </c>
      <c r="B181" s="12">
        <v>59.0</v>
      </c>
      <c r="C181" s="12">
        <v>77.0</v>
      </c>
      <c r="D181" s="12">
        <v>86.0</v>
      </c>
      <c r="E181" s="13" t="s">
        <v>188</v>
      </c>
      <c r="F181" s="13" t="s">
        <v>12</v>
      </c>
      <c r="G181" s="12">
        <v>2.0</v>
      </c>
      <c r="H181" s="14">
        <f t="shared" si="5"/>
        <v>75.66372975</v>
      </c>
      <c r="I181" s="15">
        <f t="shared" si="2"/>
        <v>26.92582404</v>
      </c>
      <c r="J181" s="15">
        <f t="shared" si="3"/>
        <v>43.18564576</v>
      </c>
      <c r="K181" s="16" t="str">
        <f t="shared" si="4"/>
        <v>Cluster-2</v>
      </c>
    </row>
    <row r="182" ht="15.75" customHeight="1">
      <c r="A182" s="5">
        <v>4824.0</v>
      </c>
      <c r="B182" s="6">
        <v>62.0</v>
      </c>
      <c r="C182" s="6">
        <v>109.0</v>
      </c>
      <c r="D182" s="6">
        <v>17.0</v>
      </c>
      <c r="E182" s="7" t="s">
        <v>189</v>
      </c>
      <c r="F182" s="7" t="s">
        <v>14</v>
      </c>
      <c r="G182" s="6">
        <v>11.0</v>
      </c>
      <c r="H182" s="8">
        <f t="shared" si="5"/>
        <v>69.0651866</v>
      </c>
      <c r="I182" s="9">
        <f t="shared" si="2"/>
        <v>58.05170109</v>
      </c>
      <c r="J182" s="9">
        <f t="shared" si="3"/>
        <v>73.8241153</v>
      </c>
      <c r="K182" s="17" t="str">
        <f t="shared" si="4"/>
        <v>Cluster-2</v>
      </c>
    </row>
    <row r="183" ht="15.75" customHeight="1">
      <c r="A183" s="11">
        <v>6456.0</v>
      </c>
      <c r="B183" s="12">
        <v>23.0</v>
      </c>
      <c r="C183" s="12">
        <v>136.0</v>
      </c>
      <c r="D183" s="12">
        <v>71.0</v>
      </c>
      <c r="E183" s="13" t="s">
        <v>190</v>
      </c>
      <c r="F183" s="13" t="s">
        <v>14</v>
      </c>
      <c r="G183" s="12">
        <v>3.0</v>
      </c>
      <c r="H183" s="14">
        <f t="shared" si="5"/>
        <v>108.7060256</v>
      </c>
      <c r="I183" s="15">
        <f t="shared" si="2"/>
        <v>66.91038783</v>
      </c>
      <c r="J183" s="15">
        <f t="shared" si="3"/>
        <v>24.8394847</v>
      </c>
      <c r="K183" s="16" t="str">
        <f t="shared" si="4"/>
        <v>Cluster-3</v>
      </c>
    </row>
    <row r="184" ht="15.75" customHeight="1">
      <c r="A184" s="5">
        <v>5099.0</v>
      </c>
      <c r="B184" s="6">
        <v>45.0</v>
      </c>
      <c r="C184" s="6">
        <v>81.0</v>
      </c>
      <c r="D184" s="6">
        <v>89.0</v>
      </c>
      <c r="E184" s="7" t="s">
        <v>191</v>
      </c>
      <c r="F184" s="7" t="s">
        <v>14</v>
      </c>
      <c r="G184" s="6">
        <v>7.0</v>
      </c>
      <c r="H184" s="8">
        <f t="shared" si="5"/>
        <v>80.26207074</v>
      </c>
      <c r="I184" s="9">
        <f t="shared" si="2"/>
        <v>31.01612484</v>
      </c>
      <c r="J184" s="9">
        <f t="shared" si="3"/>
        <v>39.01281841</v>
      </c>
      <c r="K184" s="17" t="str">
        <f t="shared" si="4"/>
        <v>Cluster-2</v>
      </c>
    </row>
    <row r="185" ht="15.75" customHeight="1">
      <c r="A185" s="11">
        <v>6135.0</v>
      </c>
      <c r="B185" s="12">
        <v>45.0</v>
      </c>
      <c r="C185" s="12">
        <v>42.0</v>
      </c>
      <c r="D185" s="12">
        <v>45.0</v>
      </c>
      <c r="E185" s="13" t="s">
        <v>192</v>
      </c>
      <c r="F185" s="13" t="s">
        <v>12</v>
      </c>
      <c r="G185" s="12">
        <v>6.0</v>
      </c>
      <c r="H185" s="14">
        <f t="shared" si="5"/>
        <v>25.07987241</v>
      </c>
      <c r="I185" s="15">
        <f t="shared" si="2"/>
        <v>31.76476035</v>
      </c>
      <c r="J185" s="15">
        <f t="shared" si="3"/>
        <v>90.04998612</v>
      </c>
      <c r="K185" s="16" t="str">
        <f t="shared" si="4"/>
        <v>Cluster-1</v>
      </c>
    </row>
    <row r="186" ht="15.75" customHeight="1">
      <c r="A186" s="5">
        <v>7246.0</v>
      </c>
      <c r="B186" s="6">
        <v>61.0</v>
      </c>
      <c r="C186" s="6">
        <v>146.0</v>
      </c>
      <c r="D186" s="6">
        <v>4.0</v>
      </c>
      <c r="E186" s="7" t="s">
        <v>193</v>
      </c>
      <c r="F186" s="7" t="s">
        <v>12</v>
      </c>
      <c r="G186" s="6">
        <v>12.0</v>
      </c>
      <c r="H186" s="8">
        <f t="shared" si="5"/>
        <v>107.2007463</v>
      </c>
      <c r="I186" s="9">
        <f t="shared" si="2"/>
        <v>94.40338977</v>
      </c>
      <c r="J186" s="9">
        <f t="shared" si="3"/>
        <v>89.84430978</v>
      </c>
      <c r="K186" s="17" t="str">
        <f t="shared" si="4"/>
        <v>Cluster-3</v>
      </c>
    </row>
    <row r="187" ht="15.75" customHeight="1">
      <c r="A187" s="11">
        <v>6770.0</v>
      </c>
      <c r="B187" s="12">
        <v>61.0</v>
      </c>
      <c r="C187" s="12">
        <v>148.0</v>
      </c>
      <c r="D187" s="12">
        <v>36.0</v>
      </c>
      <c r="E187" s="13" t="s">
        <v>194</v>
      </c>
      <c r="F187" s="13" t="s">
        <v>12</v>
      </c>
      <c r="G187" s="12">
        <v>2.0</v>
      </c>
      <c r="H187" s="14">
        <f t="shared" si="5"/>
        <v>109.1787525</v>
      </c>
      <c r="I187" s="15">
        <f t="shared" si="2"/>
        <v>81.60882305</v>
      </c>
      <c r="J187" s="15">
        <f t="shared" si="3"/>
        <v>60.8276253</v>
      </c>
      <c r="K187" s="16" t="str">
        <f t="shared" si="4"/>
        <v>Cluster-3</v>
      </c>
    </row>
    <row r="188" ht="15.75" customHeight="1">
      <c r="A188" s="5">
        <v>3817.0</v>
      </c>
      <c r="B188" s="6">
        <v>37.0</v>
      </c>
      <c r="C188" s="6">
        <v>77.0</v>
      </c>
      <c r="D188" s="6">
        <v>70.0</v>
      </c>
      <c r="E188" s="7" t="s">
        <v>195</v>
      </c>
      <c r="F188" s="7" t="s">
        <v>14</v>
      </c>
      <c r="G188" s="6">
        <v>6.0</v>
      </c>
      <c r="H188" s="8">
        <f t="shared" si="5"/>
        <v>62.20128616</v>
      </c>
      <c r="I188" s="9">
        <f t="shared" si="2"/>
        <v>12.20655562</v>
      </c>
      <c r="J188" s="9">
        <f t="shared" si="3"/>
        <v>47.42362281</v>
      </c>
      <c r="K188" s="17" t="str">
        <f t="shared" si="4"/>
        <v>Cluster-2</v>
      </c>
    </row>
    <row r="189" ht="15.75" customHeight="1">
      <c r="A189" s="11">
        <v>6170.0</v>
      </c>
      <c r="B189" s="12">
        <v>47.0</v>
      </c>
      <c r="C189" s="12">
        <v>141.0</v>
      </c>
      <c r="D189" s="12">
        <v>31.0</v>
      </c>
      <c r="E189" s="13" t="s">
        <v>196</v>
      </c>
      <c r="F189" s="13" t="s">
        <v>12</v>
      </c>
      <c r="G189" s="12">
        <v>2.0</v>
      </c>
      <c r="H189" s="14">
        <f t="shared" si="5"/>
        <v>101.5972441</v>
      </c>
      <c r="I189" s="15">
        <f t="shared" si="2"/>
        <v>76.69419796</v>
      </c>
      <c r="J189" s="15">
        <f t="shared" si="3"/>
        <v>62.62587325</v>
      </c>
      <c r="K189" s="16" t="str">
        <f t="shared" si="4"/>
        <v>Cluster-3</v>
      </c>
    </row>
    <row r="190" ht="15.75" customHeight="1">
      <c r="A190" s="5">
        <v>6371.0</v>
      </c>
      <c r="B190" s="6">
        <v>28.0</v>
      </c>
      <c r="C190" s="6">
        <v>20.0</v>
      </c>
      <c r="D190" s="6">
        <v>19.0</v>
      </c>
      <c r="E190" s="7" t="s">
        <v>197</v>
      </c>
      <c r="F190" s="7" t="s">
        <v>12</v>
      </c>
      <c r="G190" s="6">
        <v>2.0</v>
      </c>
      <c r="H190" s="8">
        <f t="shared" si="5"/>
        <v>20.02498439</v>
      </c>
      <c r="I190" s="9">
        <f t="shared" si="2"/>
        <v>64.66065264</v>
      </c>
      <c r="J190" s="9">
        <f t="shared" si="3"/>
        <v>122.6417547</v>
      </c>
      <c r="K190" s="17" t="str">
        <f t="shared" si="4"/>
        <v>Cluster-1</v>
      </c>
    </row>
    <row r="191" ht="15.75" customHeight="1">
      <c r="A191" s="11">
        <v>8621.0</v>
      </c>
      <c r="B191" s="12">
        <v>45.0</v>
      </c>
      <c r="C191" s="12">
        <v>53.0</v>
      </c>
      <c r="D191" s="12">
        <v>61.0</v>
      </c>
      <c r="E191" s="13" t="s">
        <v>198</v>
      </c>
      <c r="F191" s="13" t="s">
        <v>12</v>
      </c>
      <c r="G191" s="12">
        <v>2.0</v>
      </c>
      <c r="H191" s="14">
        <f t="shared" si="5"/>
        <v>43.01162634</v>
      </c>
      <c r="I191" s="15">
        <f t="shared" si="2"/>
        <v>17.02938637</v>
      </c>
      <c r="J191" s="15">
        <f t="shared" si="3"/>
        <v>73.00684899</v>
      </c>
      <c r="K191" s="16" t="str">
        <f t="shared" si="4"/>
        <v>Cluster-2</v>
      </c>
    </row>
    <row r="192" ht="15.75" customHeight="1">
      <c r="A192" s="5">
        <v>5077.0</v>
      </c>
      <c r="B192" s="6">
        <v>42.0</v>
      </c>
      <c r="C192" s="6">
        <v>115.0</v>
      </c>
      <c r="D192" s="6">
        <v>54.0</v>
      </c>
      <c r="E192" s="7" t="s">
        <v>199</v>
      </c>
      <c r="F192" s="7" t="s">
        <v>14</v>
      </c>
      <c r="G192" s="6">
        <v>14.0</v>
      </c>
      <c r="H192" s="8">
        <f t="shared" si="5"/>
        <v>82.3468275</v>
      </c>
      <c r="I192" s="9">
        <f t="shared" si="2"/>
        <v>45.39823785</v>
      </c>
      <c r="J192" s="9">
        <f t="shared" si="3"/>
        <v>36.34556369</v>
      </c>
      <c r="K192" s="17" t="str">
        <f t="shared" si="4"/>
        <v>Cluster-3</v>
      </c>
    </row>
    <row r="193" ht="15.75" customHeight="1">
      <c r="A193" s="11">
        <v>6595.0</v>
      </c>
      <c r="B193" s="12">
        <v>56.0</v>
      </c>
      <c r="C193" s="12">
        <v>145.0</v>
      </c>
      <c r="D193" s="12">
        <v>39.0</v>
      </c>
      <c r="E193" s="13" t="s">
        <v>200</v>
      </c>
      <c r="F193" s="13" t="s">
        <v>14</v>
      </c>
      <c r="G193" s="12">
        <v>11.0</v>
      </c>
      <c r="H193" s="14">
        <f t="shared" si="5"/>
        <v>106.7052014</v>
      </c>
      <c r="I193" s="15">
        <f t="shared" si="2"/>
        <v>77.88452991</v>
      </c>
      <c r="J193" s="15">
        <f t="shared" si="3"/>
        <v>56.79788728</v>
      </c>
      <c r="K193" s="16" t="str">
        <f t="shared" si="4"/>
        <v>Cluster-3</v>
      </c>
    </row>
    <row r="194" ht="15.75" customHeight="1">
      <c r="A194" s="5">
        <v>3292.0</v>
      </c>
      <c r="B194" s="6">
        <v>50.0</v>
      </c>
      <c r="C194" s="6">
        <v>137.0</v>
      </c>
      <c r="D194" s="6">
        <v>91.0</v>
      </c>
      <c r="E194" s="7" t="s">
        <v>201</v>
      </c>
      <c r="F194" s="7" t="s">
        <v>14</v>
      </c>
      <c r="G194" s="6">
        <v>3.0</v>
      </c>
      <c r="H194" s="8">
        <f t="shared" si="5"/>
        <v>120.2081528</v>
      </c>
      <c r="I194" s="9">
        <f t="shared" si="2"/>
        <v>73.8241153</v>
      </c>
      <c r="J194" s="9">
        <f t="shared" si="3"/>
        <v>17.02938637</v>
      </c>
      <c r="K194" s="17" t="str">
        <f t="shared" si="4"/>
        <v>Cluster-3</v>
      </c>
    </row>
    <row r="195" ht="15.75" customHeight="1">
      <c r="A195" s="11">
        <v>5344.0</v>
      </c>
      <c r="B195" s="12">
        <v>18.0</v>
      </c>
      <c r="C195" s="12">
        <v>67.0</v>
      </c>
      <c r="D195" s="12">
        <v>74.0</v>
      </c>
      <c r="E195" s="13" t="s">
        <v>202</v>
      </c>
      <c r="F195" s="13" t="s">
        <v>14</v>
      </c>
      <c r="G195" s="12">
        <v>2.0</v>
      </c>
      <c r="H195" s="14">
        <f t="shared" si="5"/>
        <v>60.37383539</v>
      </c>
      <c r="I195" s="15">
        <f t="shared" si="2"/>
        <v>14.31782106</v>
      </c>
      <c r="J195" s="15">
        <f t="shared" si="3"/>
        <v>55.36244214</v>
      </c>
      <c r="K195" s="16" t="str">
        <f t="shared" si="4"/>
        <v>Cluster-2</v>
      </c>
    </row>
    <row r="196" ht="15.75" customHeight="1">
      <c r="A196" s="5">
        <v>5152.0</v>
      </c>
      <c r="B196" s="6">
        <v>44.0</v>
      </c>
      <c r="C196" s="6">
        <v>108.0</v>
      </c>
      <c r="D196" s="6">
        <v>90.0</v>
      </c>
      <c r="E196" s="7" t="s">
        <v>203</v>
      </c>
      <c r="F196" s="7" t="s">
        <v>14</v>
      </c>
      <c r="G196" s="6">
        <v>4.0</v>
      </c>
      <c r="H196" s="8">
        <f t="shared" si="5"/>
        <v>97.59098319</v>
      </c>
      <c r="I196" s="9">
        <f t="shared" si="2"/>
        <v>48.41487375</v>
      </c>
      <c r="J196" s="9">
        <f t="shared" si="3"/>
        <v>12</v>
      </c>
      <c r="K196" s="17" t="str">
        <f t="shared" si="4"/>
        <v>Cluster-3</v>
      </c>
    </row>
    <row r="197" ht="15.75" customHeight="1">
      <c r="A197" s="11">
        <v>3877.0</v>
      </c>
      <c r="B197" s="12">
        <v>69.0</v>
      </c>
      <c r="C197" s="12">
        <v>136.0</v>
      </c>
      <c r="D197" s="12">
        <v>19.0</v>
      </c>
      <c r="E197" s="13" t="s">
        <v>204</v>
      </c>
      <c r="F197" s="13" t="s">
        <v>14</v>
      </c>
      <c r="G197" s="12">
        <v>9.0</v>
      </c>
      <c r="H197" s="14">
        <f t="shared" si="5"/>
        <v>96.00520819</v>
      </c>
      <c r="I197" s="15">
        <f t="shared" si="2"/>
        <v>77.69813383</v>
      </c>
      <c r="J197" s="15">
        <f t="shared" si="3"/>
        <v>72.78049189</v>
      </c>
      <c r="K197" s="16" t="str">
        <f t="shared" si="4"/>
        <v>Cluster-3</v>
      </c>
    </row>
    <row r="198" ht="15.75" customHeight="1">
      <c r="A198" s="5">
        <v>8695.0</v>
      </c>
      <c r="B198" s="6">
        <v>30.0</v>
      </c>
      <c r="C198" s="6">
        <v>148.0</v>
      </c>
      <c r="D198" s="6">
        <v>39.0</v>
      </c>
      <c r="E198" s="7" t="s">
        <v>205</v>
      </c>
      <c r="F198" s="7" t="s">
        <v>14</v>
      </c>
      <c r="G198" s="6">
        <v>6.0</v>
      </c>
      <c r="H198" s="8">
        <f t="shared" si="5"/>
        <v>109.658561</v>
      </c>
      <c r="I198" s="9">
        <f t="shared" si="2"/>
        <v>80.77747211</v>
      </c>
      <c r="J198" s="9">
        <f t="shared" si="3"/>
        <v>58.18075283</v>
      </c>
      <c r="K198" s="17" t="str">
        <f t="shared" si="4"/>
        <v>Cluster-3</v>
      </c>
    </row>
    <row r="199" ht="15.75" customHeight="1">
      <c r="A199" s="11">
        <v>6114.0</v>
      </c>
      <c r="B199" s="12">
        <v>58.0</v>
      </c>
      <c r="C199" s="12">
        <v>35.0</v>
      </c>
      <c r="D199" s="12">
        <v>67.0</v>
      </c>
      <c r="E199" s="13" t="s">
        <v>206</v>
      </c>
      <c r="F199" s="13" t="s">
        <v>12</v>
      </c>
      <c r="G199" s="12">
        <v>1.0</v>
      </c>
      <c r="H199" s="14">
        <f t="shared" si="5"/>
        <v>47.26520919</v>
      </c>
      <c r="I199" s="15">
        <f t="shared" si="2"/>
        <v>35.6931366</v>
      </c>
      <c r="J199" s="15">
        <f t="shared" si="3"/>
        <v>88.05679985</v>
      </c>
      <c r="K199" s="16" t="str">
        <f t="shared" si="4"/>
        <v>Cluster-2</v>
      </c>
    </row>
    <row r="200" ht="15.75" customHeight="1">
      <c r="A200" s="5">
        <v>1980.0</v>
      </c>
      <c r="B200" s="6">
        <v>20.0</v>
      </c>
      <c r="C200" s="6">
        <v>88.0</v>
      </c>
      <c r="D200" s="6">
        <v>45.0</v>
      </c>
      <c r="E200" s="7" t="s">
        <v>207</v>
      </c>
      <c r="F200" s="7" t="s">
        <v>12</v>
      </c>
      <c r="G200" s="6">
        <v>8.0</v>
      </c>
      <c r="H200" s="8">
        <f t="shared" si="5"/>
        <v>54.12023651</v>
      </c>
      <c r="I200" s="9">
        <f t="shared" si="2"/>
        <v>23.43074903</v>
      </c>
      <c r="J200" s="9">
        <f t="shared" si="3"/>
        <v>55.21775077</v>
      </c>
      <c r="K200" s="17" t="str">
        <f t="shared" si="4"/>
        <v>Cluster-2</v>
      </c>
    </row>
    <row r="201" ht="15.75" customHeight="1">
      <c r="A201" s="18">
        <v>9434.0</v>
      </c>
      <c r="B201" s="19">
        <v>56.0</v>
      </c>
      <c r="C201" s="19">
        <v>41.0</v>
      </c>
      <c r="D201" s="19">
        <v>13.0</v>
      </c>
      <c r="E201" s="20" t="s">
        <v>208</v>
      </c>
      <c r="F201" s="20" t="s">
        <v>14</v>
      </c>
      <c r="G201" s="19">
        <v>12.0</v>
      </c>
      <c r="H201" s="21">
        <f t="shared" si="5"/>
        <v>7.071067812</v>
      </c>
      <c r="I201" s="22">
        <f t="shared" si="2"/>
        <v>55.22680509</v>
      </c>
      <c r="J201" s="22">
        <f t="shared" si="3"/>
        <v>110.317723</v>
      </c>
      <c r="K201" s="23" t="str">
        <f t="shared" si="4"/>
        <v>Cluster-1</v>
      </c>
    </row>
    <row r="202" ht="15.75" customHeight="1">
      <c r="H202" s="24"/>
      <c r="I202" s="24"/>
      <c r="J202" s="24"/>
      <c r="K202" s="24"/>
    </row>
    <row r="203" ht="15.75" customHeight="1">
      <c r="A203" s="25" t="s">
        <v>209</v>
      </c>
      <c r="B203" s="26" t="s">
        <v>210</v>
      </c>
      <c r="C203" s="27"/>
      <c r="D203" s="26" t="s">
        <v>211</v>
      </c>
      <c r="E203" s="27"/>
      <c r="H203" s="28"/>
      <c r="I203" s="24"/>
      <c r="J203" s="24"/>
      <c r="K203" s="24"/>
    </row>
    <row r="204" ht="15.75" customHeight="1">
      <c r="A204" s="29">
        <v>1.0</v>
      </c>
      <c r="B204" s="30">
        <f>AVERAGEIFS(C2:C201,K2:K201,"Cluster-1")</f>
        <v>47.9</v>
      </c>
      <c r="C204" s="27"/>
      <c r="D204" s="30">
        <f>AVERAGEIFS(D2:D201,K2:K201,"Cluster-1")</f>
        <v>23.725</v>
      </c>
      <c r="E204" s="27"/>
      <c r="H204" s="24"/>
      <c r="I204" s="24"/>
      <c r="J204" s="24"/>
      <c r="K204" s="24"/>
    </row>
    <row r="205" ht="15.75" customHeight="1">
      <c r="A205" s="29">
        <v>2.0</v>
      </c>
      <c r="B205" s="30">
        <f>AVERAGEIFS(C2:C201,K2:K201,"Cluster-2")</f>
        <v>77.53932584</v>
      </c>
      <c r="C205" s="27"/>
      <c r="D205" s="30">
        <f>AVERAGEIFS(D2:D201,K2:K201,"Cluster-2")</f>
        <v>58.3258427</v>
      </c>
      <c r="E205" s="27"/>
      <c r="H205" s="24"/>
      <c r="I205" s="24"/>
      <c r="J205" s="24"/>
      <c r="K205" s="24"/>
    </row>
    <row r="206" ht="15.75" customHeight="1">
      <c r="A206" s="29">
        <v>3.0</v>
      </c>
      <c r="B206" s="30">
        <f>AVERAGEIFS(C2:C201,K2:K201,"Cluster-3")</f>
        <v>132.2112676</v>
      </c>
      <c r="C206" s="27"/>
      <c r="D206" s="30">
        <f>AVERAGEIFS(D2:D201,K2:K201,"Cluster-3")</f>
        <v>56.81690141</v>
      </c>
      <c r="E206" s="27"/>
      <c r="H206" s="24"/>
      <c r="I206" s="24"/>
      <c r="J206" s="24"/>
      <c r="K206" s="24"/>
    </row>
    <row r="207">
      <c r="H207" s="24"/>
      <c r="I207" s="24"/>
      <c r="J207" s="24"/>
      <c r="K207" s="24"/>
    </row>
    <row r="208">
      <c r="H208" s="24"/>
      <c r="I208" s="24"/>
      <c r="J208" s="24"/>
      <c r="K208" s="24"/>
    </row>
    <row r="209" ht="15.75" customHeight="1">
      <c r="H209" s="24"/>
      <c r="I209" s="24"/>
      <c r="J209" s="24"/>
      <c r="K209" s="24"/>
    </row>
    <row r="210" ht="15.75" customHeight="1">
      <c r="H210" s="24"/>
      <c r="I210" s="24"/>
      <c r="J210" s="24"/>
      <c r="K210" s="24"/>
    </row>
    <row r="211" ht="15.75" customHeight="1">
      <c r="H211" s="24"/>
      <c r="I211" s="24"/>
      <c r="J211" s="24"/>
      <c r="K211" s="24"/>
    </row>
    <row r="212" ht="15.75" customHeight="1">
      <c r="H212" s="24"/>
      <c r="I212" s="24"/>
      <c r="J212" s="24"/>
      <c r="K212" s="24"/>
    </row>
    <row r="213" ht="15.75" customHeight="1">
      <c r="H213" s="24"/>
      <c r="I213" s="24"/>
      <c r="J213" s="24"/>
      <c r="K213" s="24"/>
    </row>
    <row r="214" ht="15.75" customHeight="1">
      <c r="H214" s="24"/>
      <c r="I214" s="24"/>
      <c r="J214" s="24"/>
      <c r="K214" s="24"/>
    </row>
    <row r="215" ht="15.75" customHeight="1">
      <c r="H215" s="24"/>
      <c r="I215" s="24"/>
      <c r="J215" s="24"/>
      <c r="K215" s="24"/>
    </row>
    <row r="216" ht="15.75" customHeight="1">
      <c r="H216" s="24"/>
      <c r="I216" s="24"/>
      <c r="J216" s="24"/>
      <c r="K216" s="24"/>
    </row>
    <row r="217" ht="15.75" customHeight="1">
      <c r="H217" s="24"/>
      <c r="I217" s="24"/>
      <c r="J217" s="24"/>
      <c r="K217" s="24"/>
    </row>
    <row r="218" ht="15.75" customHeight="1">
      <c r="H218" s="24"/>
      <c r="I218" s="24"/>
      <c r="J218" s="24"/>
      <c r="K218" s="24"/>
    </row>
    <row r="219" ht="15.75" customHeight="1">
      <c r="H219" s="24"/>
      <c r="I219" s="24"/>
      <c r="J219" s="24"/>
      <c r="K219" s="24"/>
    </row>
    <row r="220" ht="15.75" customHeight="1">
      <c r="H220" s="24"/>
      <c r="I220" s="24"/>
      <c r="J220" s="24"/>
      <c r="K220" s="24"/>
    </row>
    <row r="221" ht="15.75" customHeight="1">
      <c r="H221" s="24"/>
      <c r="I221" s="24"/>
      <c r="J221" s="24"/>
      <c r="K221" s="24"/>
    </row>
    <row r="222" ht="15.75" customHeight="1">
      <c r="H222" s="24"/>
      <c r="I222" s="24"/>
      <c r="J222" s="24"/>
      <c r="K222" s="24"/>
    </row>
    <row r="223" ht="15.75" customHeight="1">
      <c r="H223" s="24"/>
      <c r="I223" s="24"/>
      <c r="J223" s="24"/>
      <c r="K223" s="24"/>
    </row>
    <row r="224" ht="15.75" customHeight="1">
      <c r="H224" s="24"/>
      <c r="I224" s="24"/>
      <c r="J224" s="24"/>
      <c r="K224" s="24"/>
    </row>
    <row r="225" ht="15.75" customHeight="1">
      <c r="H225" s="24"/>
      <c r="I225" s="24"/>
      <c r="J225" s="24"/>
      <c r="K225" s="24"/>
    </row>
    <row r="226" ht="15.75" customHeight="1">
      <c r="H226" s="24"/>
      <c r="I226" s="24"/>
      <c r="J226" s="24"/>
      <c r="K226" s="24"/>
    </row>
    <row r="227" ht="15.75" customHeight="1">
      <c r="H227" s="24"/>
      <c r="I227" s="24"/>
      <c r="J227" s="24"/>
      <c r="K227" s="24"/>
    </row>
    <row r="228" ht="15.75" customHeight="1">
      <c r="H228" s="24"/>
      <c r="I228" s="24"/>
      <c r="J228" s="24"/>
      <c r="K228" s="24"/>
    </row>
    <row r="229" ht="15.75" customHeight="1">
      <c r="H229" s="24"/>
      <c r="I229" s="24"/>
      <c r="J229" s="24"/>
      <c r="K229" s="24"/>
    </row>
    <row r="230" ht="15.75" customHeight="1">
      <c r="H230" s="24"/>
      <c r="I230" s="24"/>
      <c r="J230" s="24"/>
      <c r="K230" s="24"/>
    </row>
    <row r="231" ht="15.75" customHeight="1">
      <c r="H231" s="24"/>
      <c r="I231" s="24"/>
      <c r="J231" s="24"/>
      <c r="K231" s="24"/>
    </row>
    <row r="232" ht="15.75" customHeight="1">
      <c r="H232" s="24"/>
      <c r="I232" s="24"/>
      <c r="J232" s="24"/>
      <c r="K232" s="24"/>
    </row>
    <row r="233" ht="15.75" customHeight="1">
      <c r="H233" s="24"/>
      <c r="I233" s="24"/>
      <c r="J233" s="24"/>
      <c r="K233" s="24"/>
    </row>
    <row r="234" ht="15.75" customHeight="1">
      <c r="H234" s="24"/>
      <c r="I234" s="24"/>
      <c r="J234" s="24"/>
      <c r="K234" s="24"/>
    </row>
    <row r="235" ht="15.75" customHeight="1">
      <c r="H235" s="24"/>
      <c r="I235" s="24"/>
      <c r="J235" s="24"/>
      <c r="K235" s="24"/>
    </row>
    <row r="236" ht="15.75" customHeight="1">
      <c r="H236" s="24"/>
      <c r="I236" s="24"/>
      <c r="J236" s="24"/>
      <c r="K236" s="24"/>
    </row>
    <row r="237" ht="15.75" customHeight="1">
      <c r="H237" s="24"/>
      <c r="I237" s="24"/>
      <c r="J237" s="24"/>
      <c r="K237" s="24"/>
    </row>
    <row r="238" ht="15.75" customHeight="1">
      <c r="H238" s="24"/>
      <c r="I238" s="24"/>
      <c r="J238" s="24"/>
      <c r="K238" s="24"/>
    </row>
    <row r="239" ht="15.75" customHeight="1">
      <c r="H239" s="24"/>
      <c r="I239" s="24"/>
      <c r="J239" s="24"/>
      <c r="K239" s="24"/>
    </row>
    <row r="240" ht="15.75" customHeight="1">
      <c r="H240" s="24"/>
      <c r="I240" s="24"/>
      <c r="J240" s="24"/>
      <c r="K240" s="24"/>
    </row>
    <row r="241" ht="15.75" customHeight="1">
      <c r="H241" s="24"/>
      <c r="I241" s="24"/>
      <c r="J241" s="24"/>
      <c r="K241" s="24"/>
    </row>
    <row r="242" ht="15.75" customHeight="1">
      <c r="H242" s="24"/>
      <c r="I242" s="24"/>
      <c r="J242" s="24"/>
      <c r="K242" s="24"/>
    </row>
    <row r="243" ht="15.75" customHeight="1">
      <c r="H243" s="24"/>
      <c r="I243" s="24"/>
      <c r="J243" s="24"/>
      <c r="K243" s="24"/>
    </row>
    <row r="244" ht="15.75" customHeight="1">
      <c r="H244" s="24"/>
      <c r="I244" s="24"/>
      <c r="J244" s="24"/>
      <c r="K244" s="24"/>
    </row>
    <row r="245" ht="15.75" customHeight="1">
      <c r="H245" s="24"/>
      <c r="I245" s="24"/>
      <c r="J245" s="24"/>
      <c r="K245" s="24"/>
    </row>
    <row r="246" ht="15.75" customHeight="1">
      <c r="H246" s="24"/>
      <c r="I246" s="24"/>
      <c r="J246" s="24"/>
      <c r="K246" s="24"/>
    </row>
    <row r="247" ht="15.75" customHeight="1">
      <c r="H247" s="24"/>
      <c r="I247" s="24"/>
      <c r="J247" s="24"/>
      <c r="K247" s="24"/>
    </row>
    <row r="248" ht="15.75" customHeight="1">
      <c r="H248" s="24"/>
      <c r="I248" s="24"/>
      <c r="J248" s="24"/>
      <c r="K248" s="24"/>
    </row>
    <row r="249" ht="15.75" customHeight="1">
      <c r="H249" s="24"/>
      <c r="I249" s="24"/>
      <c r="J249" s="24"/>
      <c r="K249" s="24"/>
    </row>
    <row r="250" ht="15.75" customHeight="1">
      <c r="H250" s="24"/>
      <c r="I250" s="24"/>
      <c r="J250" s="24"/>
      <c r="K250" s="24"/>
    </row>
    <row r="251" ht="15.75" customHeight="1">
      <c r="H251" s="24"/>
      <c r="I251" s="24"/>
      <c r="J251" s="24"/>
      <c r="K251" s="24"/>
    </row>
    <row r="252" ht="15.75" customHeight="1">
      <c r="H252" s="24"/>
      <c r="I252" s="24"/>
      <c r="J252" s="24"/>
      <c r="K252" s="24"/>
    </row>
    <row r="253" ht="15.75" customHeight="1">
      <c r="H253" s="24"/>
      <c r="I253" s="24"/>
      <c r="J253" s="24"/>
      <c r="K253" s="24"/>
    </row>
    <row r="254" ht="15.75" customHeight="1">
      <c r="H254" s="24"/>
      <c r="I254" s="24"/>
      <c r="J254" s="24"/>
      <c r="K254" s="24"/>
    </row>
    <row r="255" ht="15.75" customHeight="1">
      <c r="H255" s="24"/>
      <c r="I255" s="24"/>
      <c r="J255" s="24"/>
      <c r="K255" s="24"/>
    </row>
    <row r="256" ht="15.75" customHeight="1">
      <c r="H256" s="24"/>
      <c r="I256" s="24"/>
      <c r="J256" s="24"/>
      <c r="K256" s="24"/>
    </row>
    <row r="257" ht="15.75" customHeight="1">
      <c r="H257" s="24"/>
      <c r="I257" s="24"/>
      <c r="J257" s="24"/>
      <c r="K257" s="24"/>
    </row>
    <row r="258" ht="15.75" customHeight="1">
      <c r="H258" s="24"/>
      <c r="I258" s="24"/>
      <c r="J258" s="24"/>
      <c r="K258" s="24"/>
    </row>
    <row r="259" ht="15.75" customHeight="1">
      <c r="H259" s="24"/>
      <c r="I259" s="24"/>
      <c r="J259" s="24"/>
      <c r="K259" s="24"/>
    </row>
    <row r="260" ht="15.75" customHeight="1">
      <c r="H260" s="24"/>
      <c r="I260" s="24"/>
      <c r="J260" s="24"/>
      <c r="K260" s="24"/>
    </row>
    <row r="261" ht="15.75" customHeight="1">
      <c r="H261" s="24"/>
      <c r="I261" s="24"/>
      <c r="J261" s="24"/>
      <c r="K261" s="24"/>
    </row>
    <row r="262" ht="15.75" customHeight="1">
      <c r="H262" s="24"/>
      <c r="I262" s="24"/>
      <c r="J262" s="24"/>
      <c r="K262" s="24"/>
    </row>
    <row r="263" ht="15.75" customHeight="1">
      <c r="H263" s="24"/>
      <c r="I263" s="24"/>
      <c r="J263" s="24"/>
      <c r="K263" s="24"/>
    </row>
    <row r="264" ht="15.75" customHeight="1">
      <c r="H264" s="24"/>
      <c r="I264" s="24"/>
      <c r="J264" s="24"/>
      <c r="K264" s="24"/>
    </row>
    <row r="265" ht="15.75" customHeight="1">
      <c r="H265" s="24"/>
      <c r="I265" s="24"/>
      <c r="J265" s="24"/>
      <c r="K265" s="24"/>
    </row>
    <row r="266" ht="15.75" customHeight="1">
      <c r="H266" s="24"/>
      <c r="I266" s="24"/>
      <c r="J266" s="24"/>
      <c r="K266" s="24"/>
    </row>
    <row r="267" ht="15.75" customHeight="1">
      <c r="H267" s="24"/>
      <c r="I267" s="24"/>
      <c r="J267" s="24"/>
      <c r="K267" s="24"/>
    </row>
    <row r="268" ht="15.75" customHeight="1">
      <c r="H268" s="24"/>
      <c r="I268" s="24"/>
      <c r="J268" s="24"/>
      <c r="K268" s="24"/>
    </row>
    <row r="269" ht="15.75" customHeight="1">
      <c r="H269" s="24"/>
      <c r="I269" s="24"/>
      <c r="J269" s="24"/>
      <c r="K269" s="24"/>
    </row>
    <row r="270" ht="15.75" customHeight="1">
      <c r="H270" s="24"/>
      <c r="I270" s="24"/>
      <c r="J270" s="24"/>
      <c r="K270" s="24"/>
    </row>
    <row r="271" ht="15.75" customHeight="1">
      <c r="H271" s="24"/>
      <c r="I271" s="24"/>
      <c r="J271" s="24"/>
      <c r="K271" s="24"/>
    </row>
    <row r="272" ht="15.75" customHeight="1">
      <c r="H272" s="24"/>
      <c r="I272" s="24"/>
      <c r="J272" s="24"/>
      <c r="K272" s="24"/>
    </row>
    <row r="273" ht="15.75" customHeight="1">
      <c r="H273" s="24"/>
      <c r="I273" s="24"/>
      <c r="J273" s="24"/>
      <c r="K273" s="24"/>
    </row>
    <row r="274" ht="15.75" customHeight="1">
      <c r="H274" s="24"/>
      <c r="I274" s="24"/>
      <c r="J274" s="24"/>
      <c r="K274" s="24"/>
    </row>
    <row r="275" ht="15.75" customHeight="1">
      <c r="H275" s="24"/>
      <c r="I275" s="24"/>
      <c r="J275" s="24"/>
      <c r="K275" s="24"/>
    </row>
    <row r="276" ht="15.75" customHeight="1">
      <c r="H276" s="24"/>
      <c r="I276" s="24"/>
      <c r="J276" s="24"/>
      <c r="K276" s="24"/>
    </row>
    <row r="277" ht="15.75" customHeight="1">
      <c r="H277" s="24"/>
      <c r="I277" s="24"/>
      <c r="J277" s="24"/>
      <c r="K277" s="24"/>
    </row>
    <row r="278" ht="15.75" customHeight="1">
      <c r="H278" s="24"/>
      <c r="I278" s="24"/>
      <c r="J278" s="24"/>
      <c r="K278" s="24"/>
    </row>
    <row r="279" ht="15.75" customHeight="1">
      <c r="H279" s="24"/>
      <c r="I279" s="24"/>
      <c r="J279" s="24"/>
      <c r="K279" s="24"/>
    </row>
    <row r="280" ht="15.75" customHeight="1">
      <c r="H280" s="24"/>
      <c r="I280" s="24"/>
      <c r="J280" s="24"/>
      <c r="K280" s="24"/>
    </row>
    <row r="281" ht="15.75" customHeight="1">
      <c r="H281" s="24"/>
      <c r="I281" s="24"/>
      <c r="J281" s="24"/>
      <c r="K281" s="24"/>
    </row>
    <row r="282" ht="15.75" customHeight="1">
      <c r="H282" s="24"/>
      <c r="I282" s="24"/>
      <c r="J282" s="24"/>
      <c r="K282" s="24"/>
    </row>
    <row r="283" ht="15.75" customHeight="1">
      <c r="H283" s="24"/>
      <c r="I283" s="24"/>
      <c r="J283" s="24"/>
      <c r="K283" s="24"/>
    </row>
    <row r="284" ht="15.75" customHeight="1">
      <c r="H284" s="24"/>
      <c r="I284" s="24"/>
      <c r="J284" s="24"/>
      <c r="K284" s="24"/>
    </row>
    <row r="285" ht="15.75" customHeight="1">
      <c r="H285" s="24"/>
      <c r="I285" s="24"/>
      <c r="J285" s="24"/>
      <c r="K285" s="24"/>
    </row>
    <row r="286" ht="15.75" customHeight="1">
      <c r="H286" s="24"/>
      <c r="I286" s="24"/>
      <c r="J286" s="24"/>
      <c r="K286" s="24"/>
    </row>
    <row r="287" ht="15.75" customHeight="1">
      <c r="H287" s="24"/>
      <c r="I287" s="24"/>
      <c r="J287" s="24"/>
      <c r="K287" s="24"/>
    </row>
    <row r="288" ht="15.75" customHeight="1">
      <c r="H288" s="24"/>
      <c r="I288" s="24"/>
      <c r="J288" s="24"/>
      <c r="K288" s="24"/>
    </row>
    <row r="289" ht="15.75" customHeight="1">
      <c r="H289" s="24"/>
      <c r="I289" s="24"/>
      <c r="J289" s="24"/>
      <c r="K289" s="24"/>
    </row>
    <row r="290" ht="15.75" customHeight="1">
      <c r="H290" s="24"/>
      <c r="I290" s="24"/>
      <c r="J290" s="24"/>
      <c r="K290" s="24"/>
    </row>
    <row r="291" ht="15.75" customHeight="1">
      <c r="H291" s="24"/>
      <c r="I291" s="24"/>
      <c r="J291" s="24"/>
      <c r="K291" s="24"/>
    </row>
    <row r="292" ht="15.75" customHeight="1">
      <c r="H292" s="24"/>
      <c r="I292" s="24"/>
      <c r="J292" s="24"/>
      <c r="K292" s="24"/>
    </row>
    <row r="293" ht="15.75" customHeight="1">
      <c r="H293" s="24"/>
      <c r="I293" s="24"/>
      <c r="J293" s="24"/>
      <c r="K293" s="24"/>
    </row>
    <row r="294" ht="15.75" customHeight="1">
      <c r="H294" s="24"/>
      <c r="I294" s="24"/>
      <c r="J294" s="24"/>
      <c r="K294" s="24"/>
    </row>
    <row r="295" ht="15.75" customHeight="1">
      <c r="H295" s="24"/>
      <c r="I295" s="24"/>
      <c r="J295" s="24"/>
      <c r="K295" s="24"/>
    </row>
    <row r="296" ht="15.75" customHeight="1">
      <c r="H296" s="24"/>
      <c r="I296" s="24"/>
      <c r="J296" s="24"/>
      <c r="K296" s="24"/>
    </row>
    <row r="297" ht="15.75" customHeight="1">
      <c r="H297" s="24"/>
      <c r="I297" s="24"/>
      <c r="J297" s="24"/>
      <c r="K297" s="24"/>
    </row>
    <row r="298" ht="15.75" customHeight="1">
      <c r="H298" s="24"/>
      <c r="I298" s="24"/>
      <c r="J298" s="24"/>
      <c r="K298" s="24"/>
    </row>
    <row r="299" ht="15.75" customHeight="1">
      <c r="H299" s="24"/>
      <c r="I299" s="24"/>
      <c r="J299" s="24"/>
      <c r="K299" s="24"/>
    </row>
    <row r="300" ht="15.75" customHeight="1">
      <c r="H300" s="24"/>
      <c r="I300" s="24"/>
      <c r="J300" s="24"/>
      <c r="K300" s="24"/>
    </row>
    <row r="301" ht="15.75" customHeight="1">
      <c r="H301" s="24"/>
      <c r="I301" s="24"/>
      <c r="J301" s="24"/>
      <c r="K301" s="24"/>
    </row>
    <row r="302" ht="15.75" customHeight="1">
      <c r="H302" s="24"/>
      <c r="I302" s="24"/>
      <c r="J302" s="24"/>
      <c r="K302" s="24"/>
    </row>
    <row r="303" ht="15.75" customHeight="1">
      <c r="H303" s="24"/>
      <c r="I303" s="24"/>
      <c r="J303" s="24"/>
      <c r="K303" s="24"/>
    </row>
    <row r="304" ht="15.75" customHeight="1">
      <c r="H304" s="24"/>
      <c r="I304" s="24"/>
      <c r="J304" s="24"/>
      <c r="K304" s="24"/>
    </row>
    <row r="305" ht="15.75" customHeight="1">
      <c r="H305" s="24"/>
      <c r="I305" s="24"/>
      <c r="J305" s="24"/>
      <c r="K305" s="24"/>
    </row>
    <row r="306" ht="15.75" customHeight="1">
      <c r="H306" s="24"/>
      <c r="I306" s="24"/>
      <c r="J306" s="24"/>
      <c r="K306" s="24"/>
    </row>
    <row r="307" ht="15.75" customHeight="1">
      <c r="H307" s="24"/>
      <c r="I307" s="24"/>
      <c r="J307" s="24"/>
      <c r="K307" s="24"/>
    </row>
    <row r="308" ht="15.75" customHeight="1">
      <c r="H308" s="24"/>
      <c r="I308" s="24"/>
      <c r="J308" s="24"/>
      <c r="K308" s="24"/>
    </row>
    <row r="309" ht="15.75" customHeight="1">
      <c r="H309" s="24"/>
      <c r="I309" s="24"/>
      <c r="J309" s="24"/>
      <c r="K309" s="24"/>
    </row>
    <row r="310" ht="15.75" customHeight="1">
      <c r="H310" s="24"/>
      <c r="I310" s="24"/>
      <c r="J310" s="24"/>
      <c r="K310" s="24"/>
    </row>
    <row r="311" ht="15.75" customHeight="1">
      <c r="H311" s="24"/>
      <c r="I311" s="24"/>
      <c r="J311" s="24"/>
      <c r="K311" s="24"/>
    </row>
    <row r="312" ht="15.75" customHeight="1">
      <c r="H312" s="24"/>
      <c r="I312" s="24"/>
      <c r="J312" s="24"/>
      <c r="K312" s="24"/>
    </row>
    <row r="313" ht="15.75" customHeight="1">
      <c r="H313" s="24"/>
      <c r="I313" s="24"/>
      <c r="J313" s="24"/>
      <c r="K313" s="24"/>
    </row>
    <row r="314" ht="15.75" customHeight="1">
      <c r="H314" s="24"/>
      <c r="I314" s="24"/>
      <c r="J314" s="24"/>
      <c r="K314" s="24"/>
    </row>
    <row r="315" ht="15.75" customHeight="1">
      <c r="H315" s="24"/>
      <c r="I315" s="24"/>
      <c r="J315" s="24"/>
      <c r="K315" s="24"/>
    </row>
    <row r="316" ht="15.75" customHeight="1">
      <c r="H316" s="24"/>
      <c r="I316" s="24"/>
      <c r="J316" s="24"/>
      <c r="K316" s="24"/>
    </row>
    <row r="317" ht="15.75" customHeight="1">
      <c r="H317" s="24"/>
      <c r="I317" s="24"/>
      <c r="J317" s="24"/>
      <c r="K317" s="24"/>
    </row>
    <row r="318" ht="15.75" customHeight="1">
      <c r="H318" s="24"/>
      <c r="I318" s="24"/>
      <c r="J318" s="24"/>
      <c r="K318" s="24"/>
    </row>
    <row r="319" ht="15.75" customHeight="1">
      <c r="H319" s="24"/>
      <c r="I319" s="24"/>
      <c r="J319" s="24"/>
      <c r="K319" s="24"/>
    </row>
    <row r="320" ht="15.75" customHeight="1">
      <c r="H320" s="24"/>
      <c r="I320" s="24"/>
      <c r="J320" s="24"/>
      <c r="K320" s="24"/>
    </row>
    <row r="321" ht="15.75" customHeight="1">
      <c r="H321" s="24"/>
      <c r="I321" s="24"/>
      <c r="J321" s="24"/>
      <c r="K321" s="24"/>
    </row>
    <row r="322" ht="15.75" customHeight="1">
      <c r="H322" s="24"/>
      <c r="I322" s="24"/>
      <c r="J322" s="24"/>
      <c r="K322" s="24"/>
    </row>
    <row r="323" ht="15.75" customHeight="1">
      <c r="H323" s="24"/>
      <c r="I323" s="24"/>
      <c r="J323" s="24"/>
      <c r="K323" s="24"/>
    </row>
    <row r="324" ht="15.75" customHeight="1">
      <c r="H324" s="24"/>
      <c r="I324" s="24"/>
      <c r="J324" s="24"/>
      <c r="K324" s="24"/>
    </row>
    <row r="325" ht="15.75" customHeight="1">
      <c r="H325" s="24"/>
      <c r="I325" s="24"/>
      <c r="J325" s="24"/>
      <c r="K325" s="24"/>
    </row>
    <row r="326" ht="15.75" customHeight="1">
      <c r="H326" s="24"/>
      <c r="I326" s="24"/>
      <c r="J326" s="24"/>
      <c r="K326" s="24"/>
    </row>
    <row r="327" ht="15.75" customHeight="1">
      <c r="H327" s="24"/>
      <c r="I327" s="24"/>
      <c r="J327" s="24"/>
      <c r="K327" s="24"/>
    </row>
    <row r="328" ht="15.75" customHeight="1">
      <c r="H328" s="24"/>
      <c r="I328" s="24"/>
      <c r="J328" s="24"/>
      <c r="K328" s="24"/>
    </row>
    <row r="329" ht="15.75" customHeight="1">
      <c r="H329" s="24"/>
      <c r="I329" s="24"/>
      <c r="J329" s="24"/>
      <c r="K329" s="24"/>
    </row>
    <row r="330" ht="15.75" customHeight="1">
      <c r="H330" s="24"/>
      <c r="I330" s="24"/>
      <c r="J330" s="24"/>
      <c r="K330" s="24"/>
    </row>
    <row r="331" ht="15.75" customHeight="1">
      <c r="H331" s="24"/>
      <c r="I331" s="24"/>
      <c r="J331" s="24"/>
      <c r="K331" s="24"/>
    </row>
    <row r="332" ht="15.75" customHeight="1">
      <c r="H332" s="24"/>
      <c r="I332" s="24"/>
      <c r="J332" s="24"/>
      <c r="K332" s="24"/>
    </row>
    <row r="333" ht="15.75" customHeight="1">
      <c r="H333" s="24"/>
      <c r="I333" s="24"/>
      <c r="J333" s="24"/>
      <c r="K333" s="24"/>
    </row>
    <row r="334" ht="15.75" customHeight="1">
      <c r="H334" s="24"/>
      <c r="I334" s="24"/>
      <c r="J334" s="24"/>
      <c r="K334" s="24"/>
    </row>
    <row r="335" ht="15.75" customHeight="1">
      <c r="H335" s="24"/>
      <c r="I335" s="24"/>
      <c r="J335" s="24"/>
      <c r="K335" s="24"/>
    </row>
    <row r="336" ht="15.75" customHeight="1">
      <c r="H336" s="24"/>
      <c r="I336" s="24"/>
      <c r="J336" s="24"/>
      <c r="K336" s="24"/>
    </row>
    <row r="337" ht="15.75" customHeight="1">
      <c r="H337" s="24"/>
      <c r="I337" s="24"/>
      <c r="J337" s="24"/>
      <c r="K337" s="24"/>
    </row>
    <row r="338" ht="15.75" customHeight="1">
      <c r="H338" s="24"/>
      <c r="I338" s="24"/>
      <c r="J338" s="24"/>
      <c r="K338" s="24"/>
    </row>
    <row r="339" ht="15.75" customHeight="1">
      <c r="H339" s="24"/>
      <c r="I339" s="24"/>
      <c r="J339" s="24"/>
      <c r="K339" s="24"/>
    </row>
    <row r="340" ht="15.75" customHeight="1">
      <c r="H340" s="24"/>
      <c r="I340" s="24"/>
      <c r="J340" s="24"/>
      <c r="K340" s="24"/>
    </row>
    <row r="341" ht="15.75" customHeight="1">
      <c r="H341" s="24"/>
      <c r="I341" s="24"/>
      <c r="J341" s="24"/>
      <c r="K341" s="24"/>
    </row>
    <row r="342" ht="15.75" customHeight="1">
      <c r="H342" s="24"/>
      <c r="I342" s="24"/>
      <c r="J342" s="24"/>
      <c r="K342" s="24"/>
    </row>
    <row r="343" ht="15.75" customHeight="1">
      <c r="H343" s="24"/>
      <c r="I343" s="24"/>
      <c r="J343" s="24"/>
      <c r="K343" s="24"/>
    </row>
    <row r="344" ht="15.75" customHeight="1">
      <c r="H344" s="24"/>
      <c r="I344" s="24"/>
      <c r="J344" s="24"/>
      <c r="K344" s="24"/>
    </row>
    <row r="345" ht="15.75" customHeight="1">
      <c r="H345" s="24"/>
      <c r="I345" s="24"/>
      <c r="J345" s="24"/>
      <c r="K345" s="24"/>
    </row>
    <row r="346" ht="15.75" customHeight="1">
      <c r="H346" s="24"/>
      <c r="I346" s="24"/>
      <c r="J346" s="24"/>
      <c r="K346" s="24"/>
    </row>
    <row r="347" ht="15.75" customHeight="1">
      <c r="H347" s="24"/>
      <c r="I347" s="24"/>
      <c r="J347" s="24"/>
      <c r="K347" s="24"/>
    </row>
    <row r="348" ht="15.75" customHeight="1">
      <c r="H348" s="24"/>
      <c r="I348" s="24"/>
      <c r="J348" s="24"/>
      <c r="K348" s="24"/>
    </row>
    <row r="349" ht="15.75" customHeight="1">
      <c r="H349" s="24"/>
      <c r="I349" s="24"/>
      <c r="J349" s="24"/>
      <c r="K349" s="24"/>
    </row>
    <row r="350" ht="15.75" customHeight="1">
      <c r="H350" s="24"/>
      <c r="I350" s="24"/>
      <c r="J350" s="24"/>
      <c r="K350" s="24"/>
    </row>
    <row r="351" ht="15.75" customHeight="1">
      <c r="H351" s="24"/>
      <c r="I351" s="24"/>
      <c r="J351" s="24"/>
      <c r="K351" s="24"/>
    </row>
    <row r="352" ht="15.75" customHeight="1">
      <c r="H352" s="24"/>
      <c r="I352" s="24"/>
      <c r="J352" s="24"/>
      <c r="K352" s="24"/>
    </row>
    <row r="353" ht="15.75" customHeight="1">
      <c r="H353" s="24"/>
      <c r="I353" s="24"/>
      <c r="J353" s="24"/>
      <c r="K353" s="24"/>
    </row>
    <row r="354" ht="15.75" customHeight="1">
      <c r="H354" s="24"/>
      <c r="I354" s="24"/>
      <c r="J354" s="24"/>
      <c r="K354" s="24"/>
    </row>
    <row r="355" ht="15.75" customHeight="1">
      <c r="H355" s="24"/>
      <c r="I355" s="24"/>
      <c r="J355" s="24"/>
      <c r="K355" s="24"/>
    </row>
    <row r="356" ht="15.75" customHeight="1">
      <c r="H356" s="24"/>
      <c r="I356" s="24"/>
      <c r="J356" s="24"/>
      <c r="K356" s="24"/>
    </row>
    <row r="357" ht="15.75" customHeight="1">
      <c r="H357" s="24"/>
      <c r="I357" s="24"/>
      <c r="J357" s="24"/>
      <c r="K357" s="24"/>
    </row>
    <row r="358" ht="15.75" customHeight="1">
      <c r="H358" s="24"/>
      <c r="I358" s="24"/>
      <c r="J358" s="24"/>
      <c r="K358" s="24"/>
    </row>
    <row r="359" ht="15.75" customHeight="1">
      <c r="H359" s="24"/>
      <c r="I359" s="24"/>
      <c r="J359" s="24"/>
      <c r="K359" s="24"/>
    </row>
    <row r="360" ht="15.75" customHeight="1">
      <c r="H360" s="24"/>
      <c r="I360" s="24"/>
      <c r="J360" s="24"/>
      <c r="K360" s="24"/>
    </row>
    <row r="361" ht="15.75" customHeight="1">
      <c r="H361" s="24"/>
      <c r="I361" s="24"/>
      <c r="J361" s="24"/>
      <c r="K361" s="24"/>
    </row>
    <row r="362" ht="15.75" customHeight="1">
      <c r="H362" s="24"/>
      <c r="I362" s="24"/>
      <c r="J362" s="24"/>
      <c r="K362" s="24"/>
    </row>
    <row r="363" ht="15.75" customHeight="1">
      <c r="H363" s="24"/>
      <c r="I363" s="24"/>
      <c r="J363" s="24"/>
      <c r="K363" s="24"/>
    </row>
    <row r="364" ht="15.75" customHeight="1">
      <c r="H364" s="24"/>
      <c r="I364" s="24"/>
      <c r="J364" s="24"/>
      <c r="K364" s="24"/>
    </row>
    <row r="365" ht="15.75" customHeight="1">
      <c r="H365" s="24"/>
      <c r="I365" s="24"/>
      <c r="J365" s="24"/>
      <c r="K365" s="24"/>
    </row>
    <row r="366" ht="15.75" customHeight="1">
      <c r="H366" s="24"/>
      <c r="I366" s="24"/>
      <c r="J366" s="24"/>
      <c r="K366" s="24"/>
    </row>
    <row r="367" ht="15.75" customHeight="1">
      <c r="H367" s="24"/>
      <c r="I367" s="24"/>
      <c r="J367" s="24"/>
      <c r="K367" s="24"/>
    </row>
    <row r="368" ht="15.75" customHeight="1">
      <c r="H368" s="24"/>
      <c r="I368" s="24"/>
      <c r="J368" s="24"/>
      <c r="K368" s="24"/>
    </row>
    <row r="369" ht="15.75" customHeight="1">
      <c r="H369" s="24"/>
      <c r="I369" s="24"/>
      <c r="J369" s="24"/>
      <c r="K369" s="24"/>
    </row>
    <row r="370" ht="15.75" customHeight="1">
      <c r="H370" s="24"/>
      <c r="I370" s="24"/>
      <c r="J370" s="24"/>
      <c r="K370" s="24"/>
    </row>
    <row r="371" ht="15.75" customHeight="1">
      <c r="H371" s="24"/>
      <c r="I371" s="24"/>
      <c r="J371" s="24"/>
      <c r="K371" s="24"/>
    </row>
    <row r="372" ht="15.75" customHeight="1">
      <c r="H372" s="24"/>
      <c r="I372" s="24"/>
      <c r="J372" s="24"/>
      <c r="K372" s="24"/>
    </row>
    <row r="373" ht="15.75" customHeight="1">
      <c r="H373" s="24"/>
      <c r="I373" s="24"/>
      <c r="J373" s="24"/>
      <c r="K373" s="24"/>
    </row>
    <row r="374" ht="15.75" customHeight="1">
      <c r="H374" s="24"/>
      <c r="I374" s="24"/>
      <c r="J374" s="24"/>
      <c r="K374" s="24"/>
    </row>
    <row r="375" ht="15.75" customHeight="1">
      <c r="H375" s="24"/>
      <c r="I375" s="24"/>
      <c r="J375" s="24"/>
      <c r="K375" s="24"/>
    </row>
    <row r="376" ht="15.75" customHeight="1">
      <c r="H376" s="24"/>
      <c r="I376" s="24"/>
      <c r="J376" s="24"/>
      <c r="K376" s="24"/>
    </row>
    <row r="377" ht="15.75" customHeight="1">
      <c r="H377" s="24"/>
      <c r="I377" s="24"/>
      <c r="J377" s="24"/>
      <c r="K377" s="24"/>
    </row>
    <row r="378" ht="15.75" customHeight="1">
      <c r="H378" s="24"/>
      <c r="I378" s="24"/>
      <c r="J378" s="24"/>
      <c r="K378" s="24"/>
    </row>
    <row r="379" ht="15.75" customHeight="1">
      <c r="H379" s="24"/>
      <c r="I379" s="24"/>
      <c r="J379" s="24"/>
      <c r="K379" s="24"/>
    </row>
    <row r="380" ht="15.75" customHeight="1">
      <c r="H380" s="24"/>
      <c r="I380" s="24"/>
      <c r="J380" s="24"/>
      <c r="K380" s="24"/>
    </row>
    <row r="381" ht="15.75" customHeight="1">
      <c r="H381" s="24"/>
      <c r="I381" s="24"/>
      <c r="J381" s="24"/>
      <c r="K381" s="24"/>
    </row>
    <row r="382" ht="15.75" customHeight="1">
      <c r="H382" s="24"/>
      <c r="I382" s="24"/>
      <c r="J382" s="24"/>
      <c r="K382" s="24"/>
    </row>
    <row r="383" ht="15.75" customHeight="1">
      <c r="H383" s="24"/>
      <c r="I383" s="24"/>
      <c r="J383" s="24"/>
      <c r="K383" s="24"/>
    </row>
    <row r="384" ht="15.75" customHeight="1">
      <c r="H384" s="24"/>
      <c r="I384" s="24"/>
      <c r="J384" s="24"/>
      <c r="K384" s="24"/>
    </row>
    <row r="385" ht="15.75" customHeight="1">
      <c r="H385" s="24"/>
      <c r="I385" s="24"/>
      <c r="J385" s="24"/>
      <c r="K385" s="24"/>
    </row>
    <row r="386" ht="15.75" customHeight="1">
      <c r="H386" s="24"/>
      <c r="I386" s="24"/>
      <c r="J386" s="24"/>
      <c r="K386" s="24"/>
    </row>
    <row r="387" ht="15.75" customHeight="1">
      <c r="H387" s="24"/>
      <c r="I387" s="24"/>
      <c r="J387" s="24"/>
      <c r="K387" s="24"/>
    </row>
    <row r="388" ht="15.75" customHeight="1">
      <c r="H388" s="24"/>
      <c r="I388" s="24"/>
      <c r="J388" s="24"/>
      <c r="K388" s="24"/>
    </row>
    <row r="389" ht="15.75" customHeight="1">
      <c r="H389" s="24"/>
      <c r="I389" s="24"/>
      <c r="J389" s="24"/>
      <c r="K389" s="24"/>
    </row>
    <row r="390" ht="15.75" customHeight="1">
      <c r="H390" s="24"/>
      <c r="I390" s="24"/>
      <c r="J390" s="24"/>
      <c r="K390" s="24"/>
    </row>
    <row r="391" ht="15.75" customHeight="1">
      <c r="H391" s="24"/>
      <c r="I391" s="24"/>
      <c r="J391" s="24"/>
      <c r="K391" s="24"/>
    </row>
    <row r="392" ht="15.75" customHeight="1">
      <c r="H392" s="24"/>
      <c r="I392" s="24"/>
      <c r="J392" s="24"/>
      <c r="K392" s="24"/>
    </row>
    <row r="393" ht="15.75" customHeight="1">
      <c r="H393" s="24"/>
      <c r="I393" s="24"/>
      <c r="J393" s="24"/>
      <c r="K393" s="24"/>
    </row>
    <row r="394" ht="15.75" customHeight="1">
      <c r="H394" s="24"/>
      <c r="I394" s="24"/>
      <c r="J394" s="24"/>
      <c r="K394" s="24"/>
    </row>
    <row r="395" ht="15.75" customHeight="1">
      <c r="H395" s="24"/>
      <c r="I395" s="24"/>
      <c r="J395" s="24"/>
      <c r="K395" s="24"/>
    </row>
    <row r="396" ht="15.75" customHeight="1">
      <c r="H396" s="24"/>
      <c r="I396" s="24"/>
      <c r="J396" s="24"/>
      <c r="K396" s="24"/>
    </row>
    <row r="397" ht="15.75" customHeight="1">
      <c r="H397" s="24"/>
      <c r="I397" s="24"/>
      <c r="J397" s="24"/>
      <c r="K397" s="24"/>
    </row>
    <row r="398" ht="15.75" customHeight="1">
      <c r="H398" s="24"/>
      <c r="I398" s="24"/>
      <c r="J398" s="24"/>
      <c r="K398" s="24"/>
    </row>
    <row r="399" ht="15.75" customHeight="1">
      <c r="H399" s="24"/>
      <c r="I399" s="24"/>
      <c r="J399" s="24"/>
      <c r="K399" s="24"/>
    </row>
    <row r="400" ht="15.75" customHeight="1">
      <c r="H400" s="24"/>
      <c r="I400" s="24"/>
      <c r="J400" s="24"/>
      <c r="K400" s="24"/>
    </row>
    <row r="401" ht="15.75" customHeight="1">
      <c r="H401" s="24"/>
      <c r="I401" s="24"/>
      <c r="J401" s="24"/>
      <c r="K401" s="24"/>
    </row>
    <row r="402" ht="15.75" customHeight="1">
      <c r="H402" s="24"/>
      <c r="I402" s="24"/>
      <c r="J402" s="24"/>
      <c r="K402" s="24"/>
    </row>
    <row r="403" ht="15.75" customHeight="1">
      <c r="H403" s="24"/>
      <c r="I403" s="24"/>
      <c r="J403" s="24"/>
      <c r="K403" s="24"/>
    </row>
    <row r="404" ht="15.75" customHeight="1">
      <c r="H404" s="24"/>
      <c r="I404" s="24"/>
      <c r="J404" s="24"/>
      <c r="K404" s="24"/>
    </row>
    <row r="405" ht="15.75" customHeight="1">
      <c r="H405" s="24"/>
      <c r="I405" s="24"/>
      <c r="J405" s="24"/>
      <c r="K405" s="24"/>
    </row>
    <row r="406" ht="15.75" customHeight="1">
      <c r="H406" s="24"/>
      <c r="I406" s="24"/>
      <c r="J406" s="24"/>
      <c r="K406" s="24"/>
    </row>
    <row r="407" ht="15.75" customHeight="1">
      <c r="H407" s="24"/>
      <c r="I407" s="24"/>
      <c r="J407" s="24"/>
      <c r="K407" s="24"/>
    </row>
    <row r="408" ht="15.75" customHeight="1">
      <c r="H408" s="24"/>
      <c r="I408" s="24"/>
      <c r="J408" s="24"/>
      <c r="K408" s="24"/>
    </row>
    <row r="409" ht="15.75" customHeight="1">
      <c r="H409" s="24"/>
      <c r="I409" s="24"/>
      <c r="J409" s="24"/>
      <c r="K409" s="24"/>
    </row>
    <row r="410" ht="15.75" customHeight="1">
      <c r="H410" s="24"/>
      <c r="I410" s="24"/>
      <c r="J410" s="24"/>
      <c r="K410" s="24"/>
    </row>
    <row r="411" ht="15.75" customHeight="1">
      <c r="H411" s="24"/>
      <c r="I411" s="24"/>
      <c r="J411" s="24"/>
      <c r="K411" s="24"/>
    </row>
    <row r="412" ht="15.75" customHeight="1">
      <c r="H412" s="24"/>
      <c r="I412" s="24"/>
      <c r="J412" s="24"/>
      <c r="K412" s="24"/>
    </row>
    <row r="413" ht="15.75" customHeight="1">
      <c r="H413" s="24"/>
      <c r="I413" s="24"/>
      <c r="J413" s="24"/>
      <c r="K413" s="24"/>
    </row>
    <row r="414" ht="15.75" customHeight="1">
      <c r="H414" s="24"/>
      <c r="I414" s="24"/>
      <c r="J414" s="24"/>
      <c r="K414" s="24"/>
    </row>
    <row r="415" ht="15.75" customHeight="1">
      <c r="H415" s="24"/>
      <c r="I415" s="24"/>
      <c r="J415" s="24"/>
      <c r="K415" s="24"/>
    </row>
    <row r="416" ht="15.75" customHeight="1">
      <c r="H416" s="24"/>
      <c r="I416" s="24"/>
      <c r="J416" s="24"/>
      <c r="K416" s="24"/>
    </row>
    <row r="417" ht="15.75" customHeight="1">
      <c r="H417" s="24"/>
      <c r="I417" s="24"/>
      <c r="J417" s="24"/>
      <c r="K417" s="24"/>
    </row>
    <row r="418" ht="15.75" customHeight="1">
      <c r="H418" s="24"/>
      <c r="I418" s="24"/>
      <c r="J418" s="24"/>
      <c r="K418" s="24"/>
    </row>
    <row r="419" ht="15.75" customHeight="1">
      <c r="H419" s="24"/>
      <c r="I419" s="24"/>
      <c r="J419" s="24"/>
      <c r="K419" s="24"/>
    </row>
    <row r="420" ht="15.75" customHeight="1">
      <c r="H420" s="24"/>
      <c r="I420" s="24"/>
      <c r="J420" s="24"/>
      <c r="K420" s="24"/>
    </row>
    <row r="421" ht="15.75" customHeight="1">
      <c r="H421" s="24"/>
      <c r="I421" s="24"/>
      <c r="J421" s="24"/>
      <c r="K421" s="24"/>
    </row>
    <row r="422" ht="15.75" customHeight="1">
      <c r="H422" s="24"/>
      <c r="I422" s="24"/>
      <c r="J422" s="24"/>
      <c r="K422" s="24"/>
    </row>
    <row r="423" ht="15.75" customHeight="1">
      <c r="H423" s="24"/>
      <c r="I423" s="24"/>
      <c r="J423" s="24"/>
      <c r="K423" s="24"/>
    </row>
    <row r="424" ht="15.75" customHeight="1">
      <c r="H424" s="24"/>
      <c r="I424" s="24"/>
      <c r="J424" s="24"/>
      <c r="K424" s="24"/>
    </row>
    <row r="425" ht="15.75" customHeight="1">
      <c r="H425" s="24"/>
      <c r="I425" s="24"/>
      <c r="J425" s="24"/>
      <c r="K425" s="24"/>
    </row>
    <row r="426" ht="15.75" customHeight="1">
      <c r="H426" s="24"/>
      <c r="I426" s="24"/>
      <c r="J426" s="24"/>
      <c r="K426" s="24"/>
    </row>
    <row r="427" ht="15.75" customHeight="1">
      <c r="H427" s="24"/>
      <c r="I427" s="24"/>
      <c r="J427" s="24"/>
      <c r="K427" s="24"/>
    </row>
    <row r="428" ht="15.75" customHeight="1">
      <c r="H428" s="24"/>
      <c r="I428" s="24"/>
      <c r="J428" s="24"/>
      <c r="K428" s="24"/>
    </row>
    <row r="429" ht="15.75" customHeight="1">
      <c r="H429" s="24"/>
      <c r="I429" s="24"/>
      <c r="J429" s="24"/>
      <c r="K429" s="24"/>
    </row>
    <row r="430" ht="15.75" customHeight="1">
      <c r="H430" s="24"/>
      <c r="I430" s="24"/>
      <c r="J430" s="24"/>
      <c r="K430" s="24"/>
    </row>
    <row r="431" ht="15.75" customHeight="1">
      <c r="H431" s="24"/>
      <c r="I431" s="24"/>
      <c r="J431" s="24"/>
      <c r="K431" s="24"/>
    </row>
    <row r="432" ht="15.75" customHeight="1">
      <c r="H432" s="24"/>
      <c r="I432" s="24"/>
      <c r="J432" s="24"/>
      <c r="K432" s="24"/>
    </row>
    <row r="433" ht="15.75" customHeight="1">
      <c r="H433" s="24"/>
      <c r="I433" s="24"/>
      <c r="J433" s="24"/>
      <c r="K433" s="24"/>
    </row>
    <row r="434" ht="15.75" customHeight="1">
      <c r="H434" s="24"/>
      <c r="I434" s="24"/>
      <c r="J434" s="24"/>
      <c r="K434" s="24"/>
    </row>
    <row r="435" ht="15.75" customHeight="1">
      <c r="H435" s="24"/>
      <c r="I435" s="24"/>
      <c r="J435" s="24"/>
      <c r="K435" s="24"/>
    </row>
    <row r="436" ht="15.75" customHeight="1">
      <c r="H436" s="24"/>
      <c r="I436" s="24"/>
      <c r="J436" s="24"/>
      <c r="K436" s="24"/>
    </row>
    <row r="437" ht="15.75" customHeight="1">
      <c r="H437" s="24"/>
      <c r="I437" s="24"/>
      <c r="J437" s="24"/>
      <c r="K437" s="24"/>
    </row>
    <row r="438" ht="15.75" customHeight="1">
      <c r="H438" s="24"/>
      <c r="I438" s="24"/>
      <c r="J438" s="24"/>
      <c r="K438" s="24"/>
    </row>
    <row r="439" ht="15.75" customHeight="1">
      <c r="H439" s="24"/>
      <c r="I439" s="24"/>
      <c r="J439" s="24"/>
      <c r="K439" s="24"/>
    </row>
    <row r="440" ht="15.75" customHeight="1">
      <c r="H440" s="24"/>
      <c r="I440" s="24"/>
      <c r="J440" s="24"/>
      <c r="K440" s="24"/>
    </row>
    <row r="441" ht="15.75" customHeight="1">
      <c r="H441" s="24"/>
      <c r="I441" s="24"/>
      <c r="J441" s="24"/>
      <c r="K441" s="24"/>
    </row>
    <row r="442" ht="15.75" customHeight="1">
      <c r="H442" s="24"/>
      <c r="I442" s="24"/>
      <c r="J442" s="24"/>
      <c r="K442" s="24"/>
    </row>
    <row r="443" ht="15.75" customHeight="1">
      <c r="H443" s="24"/>
      <c r="I443" s="24"/>
      <c r="J443" s="24"/>
      <c r="K443" s="24"/>
    </row>
    <row r="444" ht="15.75" customHeight="1">
      <c r="H444" s="24"/>
      <c r="I444" s="24"/>
      <c r="J444" s="24"/>
      <c r="K444" s="24"/>
    </row>
    <row r="445" ht="15.75" customHeight="1">
      <c r="H445" s="24"/>
      <c r="I445" s="24"/>
      <c r="J445" s="24"/>
      <c r="K445" s="24"/>
    </row>
    <row r="446" ht="15.75" customHeight="1">
      <c r="H446" s="24"/>
      <c r="I446" s="24"/>
      <c r="J446" s="24"/>
      <c r="K446" s="24"/>
    </row>
    <row r="447" ht="15.75" customHeight="1">
      <c r="H447" s="24"/>
      <c r="I447" s="24"/>
      <c r="J447" s="24"/>
      <c r="K447" s="24"/>
    </row>
    <row r="448" ht="15.75" customHeight="1">
      <c r="H448" s="24"/>
      <c r="I448" s="24"/>
      <c r="J448" s="24"/>
      <c r="K448" s="24"/>
    </row>
    <row r="449" ht="15.75" customHeight="1">
      <c r="H449" s="24"/>
      <c r="I449" s="24"/>
      <c r="J449" s="24"/>
      <c r="K449" s="24"/>
    </row>
    <row r="450" ht="15.75" customHeight="1">
      <c r="H450" s="24"/>
      <c r="I450" s="24"/>
      <c r="J450" s="24"/>
      <c r="K450" s="24"/>
    </row>
    <row r="451" ht="15.75" customHeight="1">
      <c r="H451" s="24"/>
      <c r="I451" s="24"/>
      <c r="J451" s="24"/>
      <c r="K451" s="24"/>
    </row>
    <row r="452" ht="15.75" customHeight="1">
      <c r="H452" s="24"/>
      <c r="I452" s="24"/>
      <c r="J452" s="24"/>
      <c r="K452" s="24"/>
    </row>
    <row r="453" ht="15.75" customHeight="1">
      <c r="H453" s="24"/>
      <c r="I453" s="24"/>
      <c r="J453" s="24"/>
      <c r="K453" s="24"/>
    </row>
    <row r="454" ht="15.75" customHeight="1">
      <c r="H454" s="24"/>
      <c r="I454" s="24"/>
      <c r="J454" s="24"/>
      <c r="K454" s="24"/>
    </row>
    <row r="455" ht="15.75" customHeight="1">
      <c r="H455" s="24"/>
      <c r="I455" s="24"/>
      <c r="J455" s="24"/>
      <c r="K455" s="24"/>
    </row>
    <row r="456" ht="15.75" customHeight="1">
      <c r="H456" s="24"/>
      <c r="I456" s="24"/>
      <c r="J456" s="24"/>
      <c r="K456" s="24"/>
    </row>
    <row r="457" ht="15.75" customHeight="1">
      <c r="H457" s="24"/>
      <c r="I457" s="24"/>
      <c r="J457" s="24"/>
      <c r="K457" s="24"/>
    </row>
    <row r="458" ht="15.75" customHeight="1">
      <c r="H458" s="24"/>
      <c r="I458" s="24"/>
      <c r="J458" s="24"/>
      <c r="K458" s="24"/>
    </row>
    <row r="459" ht="15.75" customHeight="1">
      <c r="H459" s="24"/>
      <c r="I459" s="24"/>
      <c r="J459" s="24"/>
      <c r="K459" s="24"/>
    </row>
    <row r="460" ht="15.75" customHeight="1">
      <c r="H460" s="24"/>
      <c r="I460" s="24"/>
      <c r="J460" s="24"/>
      <c r="K460" s="24"/>
    </row>
    <row r="461" ht="15.75" customHeight="1">
      <c r="H461" s="24"/>
      <c r="I461" s="24"/>
      <c r="J461" s="24"/>
      <c r="K461" s="24"/>
    </row>
    <row r="462" ht="15.75" customHeight="1">
      <c r="H462" s="24"/>
      <c r="I462" s="24"/>
      <c r="J462" s="24"/>
      <c r="K462" s="24"/>
    </row>
    <row r="463" ht="15.75" customHeight="1">
      <c r="H463" s="24"/>
      <c r="I463" s="24"/>
      <c r="J463" s="24"/>
      <c r="K463" s="24"/>
    </row>
    <row r="464" ht="15.75" customHeight="1">
      <c r="H464" s="24"/>
      <c r="I464" s="24"/>
      <c r="J464" s="24"/>
      <c r="K464" s="24"/>
    </row>
    <row r="465" ht="15.75" customHeight="1">
      <c r="H465" s="24"/>
      <c r="I465" s="24"/>
      <c r="J465" s="24"/>
      <c r="K465" s="24"/>
    </row>
    <row r="466" ht="15.75" customHeight="1">
      <c r="H466" s="24"/>
      <c r="I466" s="24"/>
      <c r="J466" s="24"/>
      <c r="K466" s="24"/>
    </row>
    <row r="467" ht="15.75" customHeight="1">
      <c r="H467" s="24"/>
      <c r="I467" s="24"/>
      <c r="J467" s="24"/>
      <c r="K467" s="24"/>
    </row>
    <row r="468" ht="15.75" customHeight="1">
      <c r="H468" s="24"/>
      <c r="I468" s="24"/>
      <c r="J468" s="24"/>
      <c r="K468" s="24"/>
    </row>
    <row r="469" ht="15.75" customHeight="1">
      <c r="H469" s="24"/>
      <c r="I469" s="24"/>
      <c r="J469" s="24"/>
      <c r="K469" s="24"/>
    </row>
    <row r="470" ht="15.75" customHeight="1">
      <c r="H470" s="24"/>
      <c r="I470" s="24"/>
      <c r="J470" s="24"/>
      <c r="K470" s="24"/>
    </row>
    <row r="471" ht="15.75" customHeight="1">
      <c r="H471" s="24"/>
      <c r="I471" s="24"/>
      <c r="J471" s="24"/>
      <c r="K471" s="24"/>
    </row>
    <row r="472" ht="15.75" customHeight="1">
      <c r="H472" s="24"/>
      <c r="I472" s="24"/>
      <c r="J472" s="24"/>
      <c r="K472" s="24"/>
    </row>
    <row r="473" ht="15.75" customHeight="1">
      <c r="H473" s="24"/>
      <c r="I473" s="24"/>
      <c r="J473" s="24"/>
      <c r="K473" s="24"/>
    </row>
    <row r="474" ht="15.75" customHeight="1">
      <c r="H474" s="24"/>
      <c r="I474" s="24"/>
      <c r="J474" s="24"/>
      <c r="K474" s="24"/>
    </row>
    <row r="475" ht="15.75" customHeight="1">
      <c r="H475" s="24"/>
      <c r="I475" s="24"/>
      <c r="J475" s="24"/>
      <c r="K475" s="24"/>
    </row>
    <row r="476" ht="15.75" customHeight="1">
      <c r="H476" s="24"/>
      <c r="I476" s="24"/>
      <c r="J476" s="24"/>
      <c r="K476" s="24"/>
    </row>
    <row r="477" ht="15.75" customHeight="1">
      <c r="H477" s="24"/>
      <c r="I477" s="24"/>
      <c r="J477" s="24"/>
      <c r="K477" s="24"/>
    </row>
    <row r="478" ht="15.75" customHeight="1">
      <c r="H478" s="24"/>
      <c r="I478" s="24"/>
      <c r="J478" s="24"/>
      <c r="K478" s="24"/>
    </row>
    <row r="479" ht="15.75" customHeight="1">
      <c r="H479" s="24"/>
      <c r="I479" s="24"/>
      <c r="J479" s="24"/>
      <c r="K479" s="24"/>
    </row>
    <row r="480" ht="15.75" customHeight="1">
      <c r="H480" s="24"/>
      <c r="I480" s="24"/>
      <c r="J480" s="24"/>
      <c r="K480" s="24"/>
    </row>
    <row r="481" ht="15.75" customHeight="1">
      <c r="H481" s="24"/>
      <c r="I481" s="24"/>
      <c r="J481" s="24"/>
      <c r="K481" s="24"/>
    </row>
    <row r="482" ht="15.75" customHeight="1">
      <c r="H482" s="24"/>
      <c r="I482" s="24"/>
      <c r="J482" s="24"/>
      <c r="K482" s="24"/>
    </row>
    <row r="483" ht="15.75" customHeight="1">
      <c r="H483" s="24"/>
      <c r="I483" s="24"/>
      <c r="J483" s="24"/>
      <c r="K483" s="24"/>
    </row>
    <row r="484" ht="15.75" customHeight="1">
      <c r="H484" s="24"/>
      <c r="I484" s="24"/>
      <c r="J484" s="24"/>
      <c r="K484" s="24"/>
    </row>
    <row r="485" ht="15.75" customHeight="1">
      <c r="H485" s="24"/>
      <c r="I485" s="24"/>
      <c r="J485" s="24"/>
      <c r="K485" s="24"/>
    </row>
    <row r="486" ht="15.75" customHeight="1">
      <c r="H486" s="24"/>
      <c r="I486" s="24"/>
      <c r="J486" s="24"/>
      <c r="K486" s="24"/>
    </row>
    <row r="487" ht="15.75" customHeight="1">
      <c r="H487" s="24"/>
      <c r="I487" s="24"/>
      <c r="J487" s="24"/>
      <c r="K487" s="24"/>
    </row>
    <row r="488" ht="15.75" customHeight="1">
      <c r="H488" s="24"/>
      <c r="I488" s="24"/>
      <c r="J488" s="24"/>
      <c r="K488" s="24"/>
    </row>
    <row r="489" ht="15.75" customHeight="1">
      <c r="H489" s="24"/>
      <c r="I489" s="24"/>
      <c r="J489" s="24"/>
      <c r="K489" s="24"/>
    </row>
    <row r="490" ht="15.75" customHeight="1">
      <c r="H490" s="24"/>
      <c r="I490" s="24"/>
      <c r="J490" s="24"/>
      <c r="K490" s="24"/>
    </row>
    <row r="491" ht="15.75" customHeight="1">
      <c r="H491" s="24"/>
      <c r="I491" s="24"/>
      <c r="J491" s="24"/>
      <c r="K491" s="24"/>
    </row>
    <row r="492" ht="15.75" customHeight="1">
      <c r="H492" s="24"/>
      <c r="I492" s="24"/>
      <c r="J492" s="24"/>
      <c r="K492" s="24"/>
    </row>
    <row r="493" ht="15.75" customHeight="1">
      <c r="H493" s="24"/>
      <c r="I493" s="24"/>
      <c r="J493" s="24"/>
      <c r="K493" s="24"/>
    </row>
    <row r="494" ht="15.75" customHeight="1">
      <c r="H494" s="24"/>
      <c r="I494" s="24"/>
      <c r="J494" s="24"/>
      <c r="K494" s="24"/>
    </row>
    <row r="495" ht="15.75" customHeight="1">
      <c r="H495" s="24"/>
      <c r="I495" s="24"/>
      <c r="J495" s="24"/>
      <c r="K495" s="24"/>
    </row>
    <row r="496" ht="15.75" customHeight="1">
      <c r="H496" s="24"/>
      <c r="I496" s="24"/>
      <c r="J496" s="24"/>
      <c r="K496" s="24"/>
    </row>
    <row r="497" ht="15.75" customHeight="1">
      <c r="H497" s="24"/>
      <c r="I497" s="24"/>
      <c r="J497" s="24"/>
      <c r="K497" s="24"/>
    </row>
    <row r="498" ht="15.75" customHeight="1">
      <c r="H498" s="24"/>
      <c r="I498" s="24"/>
      <c r="J498" s="24"/>
      <c r="K498" s="24"/>
    </row>
    <row r="499" ht="15.75" customHeight="1">
      <c r="H499" s="24"/>
      <c r="I499" s="24"/>
      <c r="J499" s="24"/>
      <c r="K499" s="24"/>
    </row>
    <row r="500" ht="15.75" customHeight="1">
      <c r="H500" s="24"/>
      <c r="I500" s="24"/>
      <c r="J500" s="24"/>
      <c r="K500" s="24"/>
    </row>
    <row r="501" ht="15.75" customHeight="1">
      <c r="H501" s="24"/>
      <c r="I501" s="24"/>
      <c r="J501" s="24"/>
      <c r="K501" s="24"/>
    </row>
    <row r="502" ht="15.75" customHeight="1">
      <c r="H502" s="24"/>
      <c r="I502" s="24"/>
      <c r="J502" s="24"/>
      <c r="K502" s="24"/>
    </row>
    <row r="503" ht="15.75" customHeight="1">
      <c r="H503" s="24"/>
      <c r="I503" s="24"/>
      <c r="J503" s="24"/>
      <c r="K503" s="24"/>
    </row>
    <row r="504" ht="15.75" customHeight="1">
      <c r="H504" s="24"/>
      <c r="I504" s="24"/>
      <c r="J504" s="24"/>
      <c r="K504" s="24"/>
    </row>
    <row r="505" ht="15.75" customHeight="1">
      <c r="H505" s="24"/>
      <c r="I505" s="24"/>
      <c r="J505" s="24"/>
      <c r="K505" s="24"/>
    </row>
    <row r="506" ht="15.75" customHeight="1">
      <c r="H506" s="24"/>
      <c r="I506" s="24"/>
      <c r="J506" s="24"/>
      <c r="K506" s="24"/>
    </row>
    <row r="507" ht="15.75" customHeight="1">
      <c r="H507" s="24"/>
      <c r="I507" s="24"/>
      <c r="J507" s="24"/>
      <c r="K507" s="24"/>
    </row>
    <row r="508" ht="15.75" customHeight="1">
      <c r="H508" s="24"/>
      <c r="I508" s="24"/>
      <c r="J508" s="24"/>
      <c r="K508" s="24"/>
    </row>
    <row r="509" ht="15.75" customHeight="1">
      <c r="H509" s="24"/>
      <c r="I509" s="24"/>
      <c r="J509" s="24"/>
      <c r="K509" s="24"/>
    </row>
    <row r="510" ht="15.75" customHeight="1">
      <c r="H510" s="24"/>
      <c r="I510" s="24"/>
      <c r="J510" s="24"/>
      <c r="K510" s="24"/>
    </row>
    <row r="511" ht="15.75" customHeight="1">
      <c r="H511" s="24"/>
      <c r="I511" s="24"/>
      <c r="J511" s="24"/>
      <c r="K511" s="24"/>
    </row>
    <row r="512" ht="15.75" customHeight="1">
      <c r="H512" s="24"/>
      <c r="I512" s="24"/>
      <c r="J512" s="24"/>
      <c r="K512" s="24"/>
    </row>
    <row r="513" ht="15.75" customHeight="1">
      <c r="H513" s="24"/>
      <c r="I513" s="24"/>
      <c r="J513" s="24"/>
      <c r="K513" s="24"/>
    </row>
    <row r="514" ht="15.75" customHeight="1">
      <c r="H514" s="24"/>
      <c r="I514" s="24"/>
      <c r="J514" s="24"/>
      <c r="K514" s="24"/>
    </row>
    <row r="515" ht="15.75" customHeight="1">
      <c r="H515" s="24"/>
      <c r="I515" s="24"/>
      <c r="J515" s="24"/>
      <c r="K515" s="24"/>
    </row>
    <row r="516" ht="15.75" customHeight="1">
      <c r="H516" s="24"/>
      <c r="I516" s="24"/>
      <c r="J516" s="24"/>
      <c r="K516" s="24"/>
    </row>
    <row r="517" ht="15.75" customHeight="1">
      <c r="H517" s="24"/>
      <c r="I517" s="24"/>
      <c r="J517" s="24"/>
      <c r="K517" s="24"/>
    </row>
    <row r="518" ht="15.75" customHeight="1">
      <c r="H518" s="24"/>
      <c r="I518" s="24"/>
      <c r="J518" s="24"/>
      <c r="K518" s="24"/>
    </row>
    <row r="519" ht="15.75" customHeight="1">
      <c r="H519" s="24"/>
      <c r="I519" s="24"/>
      <c r="J519" s="24"/>
      <c r="K519" s="24"/>
    </row>
    <row r="520" ht="15.75" customHeight="1">
      <c r="H520" s="24"/>
      <c r="I520" s="24"/>
      <c r="J520" s="24"/>
      <c r="K520" s="24"/>
    </row>
    <row r="521" ht="15.75" customHeight="1">
      <c r="H521" s="24"/>
      <c r="I521" s="24"/>
      <c r="J521" s="24"/>
      <c r="K521" s="24"/>
    </row>
    <row r="522" ht="15.75" customHeight="1">
      <c r="H522" s="24"/>
      <c r="I522" s="24"/>
      <c r="J522" s="24"/>
      <c r="K522" s="24"/>
    </row>
    <row r="523" ht="15.75" customHeight="1">
      <c r="H523" s="24"/>
      <c r="I523" s="24"/>
      <c r="J523" s="24"/>
      <c r="K523" s="24"/>
    </row>
    <row r="524" ht="15.75" customHeight="1">
      <c r="H524" s="24"/>
      <c r="I524" s="24"/>
      <c r="J524" s="24"/>
      <c r="K524" s="24"/>
    </row>
    <row r="525" ht="15.75" customHeight="1">
      <c r="H525" s="24"/>
      <c r="I525" s="24"/>
      <c r="J525" s="24"/>
      <c r="K525" s="24"/>
    </row>
    <row r="526" ht="15.75" customHeight="1">
      <c r="H526" s="24"/>
      <c r="I526" s="24"/>
      <c r="J526" s="24"/>
      <c r="K526" s="24"/>
    </row>
    <row r="527" ht="15.75" customHeight="1">
      <c r="H527" s="24"/>
      <c r="I527" s="24"/>
      <c r="J527" s="24"/>
      <c r="K527" s="24"/>
    </row>
    <row r="528" ht="15.75" customHeight="1">
      <c r="H528" s="24"/>
      <c r="I528" s="24"/>
      <c r="J528" s="24"/>
      <c r="K528" s="24"/>
    </row>
    <row r="529" ht="15.75" customHeight="1">
      <c r="H529" s="24"/>
      <c r="I529" s="24"/>
      <c r="J529" s="24"/>
      <c r="K529" s="24"/>
    </row>
    <row r="530" ht="15.75" customHeight="1">
      <c r="H530" s="24"/>
      <c r="I530" s="24"/>
      <c r="J530" s="24"/>
      <c r="K530" s="24"/>
    </row>
    <row r="531" ht="15.75" customHeight="1">
      <c r="H531" s="24"/>
      <c r="I531" s="24"/>
      <c r="J531" s="24"/>
      <c r="K531" s="24"/>
    </row>
    <row r="532" ht="15.75" customHeight="1">
      <c r="H532" s="24"/>
      <c r="I532" s="24"/>
      <c r="J532" s="24"/>
      <c r="K532" s="24"/>
    </row>
    <row r="533" ht="15.75" customHeight="1">
      <c r="H533" s="24"/>
      <c r="I533" s="24"/>
      <c r="J533" s="24"/>
      <c r="K533" s="24"/>
    </row>
    <row r="534" ht="15.75" customHeight="1">
      <c r="H534" s="24"/>
      <c r="I534" s="24"/>
      <c r="J534" s="24"/>
      <c r="K534" s="24"/>
    </row>
    <row r="535" ht="15.75" customHeight="1">
      <c r="H535" s="24"/>
      <c r="I535" s="24"/>
      <c r="J535" s="24"/>
      <c r="K535" s="24"/>
    </row>
    <row r="536" ht="15.75" customHeight="1">
      <c r="H536" s="24"/>
      <c r="I536" s="24"/>
      <c r="J536" s="24"/>
      <c r="K536" s="24"/>
    </row>
    <row r="537" ht="15.75" customHeight="1">
      <c r="H537" s="24"/>
      <c r="I537" s="24"/>
      <c r="J537" s="24"/>
      <c r="K537" s="24"/>
    </row>
    <row r="538" ht="15.75" customHeight="1">
      <c r="H538" s="24"/>
      <c r="I538" s="24"/>
      <c r="J538" s="24"/>
      <c r="K538" s="24"/>
    </row>
    <row r="539" ht="15.75" customHeight="1">
      <c r="H539" s="24"/>
      <c r="I539" s="24"/>
      <c r="J539" s="24"/>
      <c r="K539" s="24"/>
    </row>
    <row r="540" ht="15.75" customHeight="1">
      <c r="H540" s="24"/>
      <c r="I540" s="24"/>
      <c r="J540" s="24"/>
      <c r="K540" s="24"/>
    </row>
    <row r="541" ht="15.75" customHeight="1">
      <c r="H541" s="24"/>
      <c r="I541" s="24"/>
      <c r="J541" s="24"/>
      <c r="K541" s="24"/>
    </row>
    <row r="542" ht="15.75" customHeight="1">
      <c r="H542" s="24"/>
      <c r="I542" s="24"/>
      <c r="J542" s="24"/>
      <c r="K542" s="24"/>
    </row>
    <row r="543" ht="15.75" customHeight="1">
      <c r="H543" s="24"/>
      <c r="I543" s="24"/>
      <c r="J543" s="24"/>
      <c r="K543" s="24"/>
    </row>
    <row r="544" ht="15.75" customHeight="1">
      <c r="H544" s="24"/>
      <c r="I544" s="24"/>
      <c r="J544" s="24"/>
      <c r="K544" s="24"/>
    </row>
    <row r="545" ht="15.75" customHeight="1">
      <c r="H545" s="24"/>
      <c r="I545" s="24"/>
      <c r="J545" s="24"/>
      <c r="K545" s="24"/>
    </row>
    <row r="546" ht="15.75" customHeight="1">
      <c r="H546" s="24"/>
      <c r="I546" s="24"/>
      <c r="J546" s="24"/>
      <c r="K546" s="24"/>
    </row>
    <row r="547" ht="15.75" customHeight="1">
      <c r="H547" s="24"/>
      <c r="I547" s="24"/>
      <c r="J547" s="24"/>
      <c r="K547" s="24"/>
    </row>
    <row r="548" ht="15.75" customHeight="1">
      <c r="H548" s="24"/>
      <c r="I548" s="24"/>
      <c r="J548" s="24"/>
      <c r="K548" s="24"/>
    </row>
    <row r="549" ht="15.75" customHeight="1">
      <c r="H549" s="24"/>
      <c r="I549" s="24"/>
      <c r="J549" s="24"/>
      <c r="K549" s="24"/>
    </row>
    <row r="550" ht="15.75" customHeight="1">
      <c r="H550" s="24"/>
      <c r="I550" s="24"/>
      <c r="J550" s="24"/>
      <c r="K550" s="24"/>
    </row>
    <row r="551" ht="15.75" customHeight="1">
      <c r="H551" s="24"/>
      <c r="I551" s="24"/>
      <c r="J551" s="24"/>
      <c r="K551" s="24"/>
    </row>
    <row r="552" ht="15.75" customHeight="1">
      <c r="H552" s="24"/>
      <c r="I552" s="24"/>
      <c r="J552" s="24"/>
      <c r="K552" s="24"/>
    </row>
    <row r="553" ht="15.75" customHeight="1">
      <c r="H553" s="24"/>
      <c r="I553" s="24"/>
      <c r="J553" s="24"/>
      <c r="K553" s="24"/>
    </row>
    <row r="554" ht="15.75" customHeight="1">
      <c r="H554" s="24"/>
      <c r="I554" s="24"/>
      <c r="J554" s="24"/>
      <c r="K554" s="24"/>
    </row>
    <row r="555" ht="15.75" customHeight="1">
      <c r="H555" s="24"/>
      <c r="I555" s="24"/>
      <c r="J555" s="24"/>
      <c r="K555" s="24"/>
    </row>
    <row r="556" ht="15.75" customHeight="1">
      <c r="H556" s="24"/>
      <c r="I556" s="24"/>
      <c r="J556" s="24"/>
      <c r="K556" s="24"/>
    </row>
    <row r="557" ht="15.75" customHeight="1">
      <c r="H557" s="24"/>
      <c r="I557" s="24"/>
      <c r="J557" s="24"/>
      <c r="K557" s="24"/>
    </row>
    <row r="558" ht="15.75" customHeight="1">
      <c r="H558" s="24"/>
      <c r="I558" s="24"/>
      <c r="J558" s="24"/>
      <c r="K558" s="24"/>
    </row>
    <row r="559" ht="15.75" customHeight="1">
      <c r="H559" s="24"/>
      <c r="I559" s="24"/>
      <c r="J559" s="24"/>
      <c r="K559" s="24"/>
    </row>
    <row r="560" ht="15.75" customHeight="1">
      <c r="H560" s="24"/>
      <c r="I560" s="24"/>
      <c r="J560" s="24"/>
      <c r="K560" s="24"/>
    </row>
    <row r="561" ht="15.75" customHeight="1">
      <c r="H561" s="24"/>
      <c r="I561" s="24"/>
      <c r="J561" s="24"/>
      <c r="K561" s="24"/>
    </row>
    <row r="562" ht="15.75" customHeight="1">
      <c r="H562" s="24"/>
      <c r="I562" s="24"/>
      <c r="J562" s="24"/>
      <c r="K562" s="24"/>
    </row>
    <row r="563" ht="15.75" customHeight="1">
      <c r="H563" s="24"/>
      <c r="I563" s="24"/>
      <c r="J563" s="24"/>
      <c r="K563" s="24"/>
    </row>
    <row r="564" ht="15.75" customHeight="1">
      <c r="H564" s="24"/>
      <c r="I564" s="24"/>
      <c r="J564" s="24"/>
      <c r="K564" s="24"/>
    </row>
    <row r="565" ht="15.75" customHeight="1">
      <c r="H565" s="24"/>
      <c r="I565" s="24"/>
      <c r="J565" s="24"/>
      <c r="K565" s="24"/>
    </row>
    <row r="566" ht="15.75" customHeight="1">
      <c r="H566" s="24"/>
      <c r="I566" s="24"/>
      <c r="J566" s="24"/>
      <c r="K566" s="24"/>
    </row>
    <row r="567" ht="15.75" customHeight="1">
      <c r="H567" s="24"/>
      <c r="I567" s="24"/>
      <c r="J567" s="24"/>
      <c r="K567" s="24"/>
    </row>
    <row r="568" ht="15.75" customHeight="1">
      <c r="H568" s="24"/>
      <c r="I568" s="24"/>
      <c r="J568" s="24"/>
      <c r="K568" s="24"/>
    </row>
    <row r="569" ht="15.75" customHeight="1">
      <c r="H569" s="24"/>
      <c r="I569" s="24"/>
      <c r="J569" s="24"/>
      <c r="K569" s="24"/>
    </row>
    <row r="570" ht="15.75" customHeight="1">
      <c r="H570" s="24"/>
      <c r="I570" s="24"/>
      <c r="J570" s="24"/>
      <c r="K570" s="24"/>
    </row>
    <row r="571" ht="15.75" customHeight="1">
      <c r="H571" s="24"/>
      <c r="I571" s="24"/>
      <c r="J571" s="24"/>
      <c r="K571" s="24"/>
    </row>
    <row r="572" ht="15.75" customHeight="1">
      <c r="H572" s="24"/>
      <c r="I572" s="24"/>
      <c r="J572" s="24"/>
      <c r="K572" s="24"/>
    </row>
    <row r="573" ht="15.75" customHeight="1">
      <c r="H573" s="24"/>
      <c r="I573" s="24"/>
      <c r="J573" s="24"/>
      <c r="K573" s="24"/>
    </row>
    <row r="574" ht="15.75" customHeight="1">
      <c r="H574" s="24"/>
      <c r="I574" s="24"/>
      <c r="J574" s="24"/>
      <c r="K574" s="24"/>
    </row>
    <row r="575" ht="15.75" customHeight="1">
      <c r="H575" s="24"/>
      <c r="I575" s="24"/>
      <c r="J575" s="24"/>
      <c r="K575" s="24"/>
    </row>
    <row r="576" ht="15.75" customHeight="1">
      <c r="H576" s="24"/>
      <c r="I576" s="24"/>
      <c r="J576" s="24"/>
      <c r="K576" s="24"/>
    </row>
    <row r="577" ht="15.75" customHeight="1">
      <c r="H577" s="24"/>
      <c r="I577" s="24"/>
      <c r="J577" s="24"/>
      <c r="K577" s="24"/>
    </row>
    <row r="578" ht="15.75" customHeight="1">
      <c r="H578" s="24"/>
      <c r="I578" s="24"/>
      <c r="J578" s="24"/>
      <c r="K578" s="24"/>
    </row>
    <row r="579" ht="15.75" customHeight="1">
      <c r="H579" s="24"/>
      <c r="I579" s="24"/>
      <c r="J579" s="24"/>
      <c r="K579" s="24"/>
    </row>
    <row r="580" ht="15.75" customHeight="1">
      <c r="H580" s="24"/>
      <c r="I580" s="24"/>
      <c r="J580" s="24"/>
      <c r="K580" s="24"/>
    </row>
    <row r="581" ht="15.75" customHeight="1">
      <c r="H581" s="24"/>
      <c r="I581" s="24"/>
      <c r="J581" s="24"/>
      <c r="K581" s="24"/>
    </row>
    <row r="582" ht="15.75" customHeight="1">
      <c r="H582" s="24"/>
      <c r="I582" s="24"/>
      <c r="J582" s="24"/>
      <c r="K582" s="24"/>
    </row>
    <row r="583" ht="15.75" customHeight="1">
      <c r="H583" s="24"/>
      <c r="I583" s="24"/>
      <c r="J583" s="24"/>
      <c r="K583" s="24"/>
    </row>
    <row r="584" ht="15.75" customHeight="1">
      <c r="H584" s="24"/>
      <c r="I584" s="24"/>
      <c r="J584" s="24"/>
      <c r="K584" s="24"/>
    </row>
    <row r="585" ht="15.75" customHeight="1">
      <c r="H585" s="24"/>
      <c r="I585" s="24"/>
      <c r="J585" s="24"/>
      <c r="K585" s="24"/>
    </row>
    <row r="586" ht="15.75" customHeight="1">
      <c r="H586" s="24"/>
      <c r="I586" s="24"/>
      <c r="J586" s="24"/>
      <c r="K586" s="24"/>
    </row>
    <row r="587" ht="15.75" customHeight="1">
      <c r="H587" s="24"/>
      <c r="I587" s="24"/>
      <c r="J587" s="24"/>
      <c r="K587" s="24"/>
    </row>
    <row r="588" ht="15.75" customHeight="1">
      <c r="H588" s="24"/>
      <c r="I588" s="24"/>
      <c r="J588" s="24"/>
      <c r="K588" s="24"/>
    </row>
    <row r="589" ht="15.75" customHeight="1">
      <c r="H589" s="24"/>
      <c r="I589" s="24"/>
      <c r="J589" s="24"/>
      <c r="K589" s="24"/>
    </row>
    <row r="590" ht="15.75" customHeight="1">
      <c r="H590" s="24"/>
      <c r="I590" s="24"/>
      <c r="J590" s="24"/>
      <c r="K590" s="24"/>
    </row>
    <row r="591" ht="15.75" customHeight="1">
      <c r="H591" s="24"/>
      <c r="I591" s="24"/>
      <c r="J591" s="24"/>
      <c r="K591" s="24"/>
    </row>
    <row r="592" ht="15.75" customHeight="1">
      <c r="H592" s="24"/>
      <c r="I592" s="24"/>
      <c r="J592" s="24"/>
      <c r="K592" s="24"/>
    </row>
    <row r="593" ht="15.75" customHeight="1">
      <c r="H593" s="24"/>
      <c r="I593" s="24"/>
      <c r="J593" s="24"/>
      <c r="K593" s="24"/>
    </row>
    <row r="594" ht="15.75" customHeight="1">
      <c r="H594" s="24"/>
      <c r="I594" s="24"/>
      <c r="J594" s="24"/>
      <c r="K594" s="24"/>
    </row>
    <row r="595" ht="15.75" customHeight="1">
      <c r="H595" s="24"/>
      <c r="I595" s="24"/>
      <c r="J595" s="24"/>
      <c r="K595" s="24"/>
    </row>
    <row r="596" ht="15.75" customHeight="1">
      <c r="H596" s="24"/>
      <c r="I596" s="24"/>
      <c r="J596" s="24"/>
      <c r="K596" s="24"/>
    </row>
    <row r="597" ht="15.75" customHeight="1">
      <c r="H597" s="24"/>
      <c r="I597" s="24"/>
      <c r="J597" s="24"/>
      <c r="K597" s="24"/>
    </row>
    <row r="598" ht="15.75" customHeight="1">
      <c r="H598" s="24"/>
      <c r="I598" s="24"/>
      <c r="J598" s="24"/>
      <c r="K598" s="24"/>
    </row>
    <row r="599" ht="15.75" customHeight="1">
      <c r="H599" s="24"/>
      <c r="I599" s="24"/>
      <c r="J599" s="24"/>
      <c r="K599" s="24"/>
    </row>
    <row r="600" ht="15.75" customHeight="1">
      <c r="H600" s="24"/>
      <c r="I600" s="24"/>
      <c r="J600" s="24"/>
      <c r="K600" s="24"/>
    </row>
    <row r="601" ht="15.75" customHeight="1">
      <c r="H601" s="24"/>
      <c r="I601" s="24"/>
      <c r="J601" s="24"/>
      <c r="K601" s="24"/>
    </row>
    <row r="602" ht="15.75" customHeight="1">
      <c r="H602" s="24"/>
      <c r="I602" s="24"/>
      <c r="J602" s="24"/>
      <c r="K602" s="24"/>
    </row>
    <row r="603" ht="15.75" customHeight="1">
      <c r="H603" s="24"/>
      <c r="I603" s="24"/>
      <c r="J603" s="24"/>
      <c r="K603" s="24"/>
    </row>
    <row r="604" ht="15.75" customHeight="1">
      <c r="H604" s="24"/>
      <c r="I604" s="24"/>
      <c r="J604" s="24"/>
      <c r="K604" s="24"/>
    </row>
    <row r="605" ht="15.75" customHeight="1">
      <c r="H605" s="24"/>
      <c r="I605" s="24"/>
      <c r="J605" s="24"/>
      <c r="K605" s="24"/>
    </row>
    <row r="606" ht="15.75" customHeight="1">
      <c r="H606" s="24"/>
      <c r="I606" s="24"/>
      <c r="J606" s="24"/>
      <c r="K606" s="24"/>
    </row>
    <row r="607" ht="15.75" customHeight="1">
      <c r="H607" s="24"/>
      <c r="I607" s="24"/>
      <c r="J607" s="24"/>
      <c r="K607" s="24"/>
    </row>
    <row r="608" ht="15.75" customHeight="1">
      <c r="H608" s="24"/>
      <c r="I608" s="24"/>
      <c r="J608" s="24"/>
      <c r="K608" s="24"/>
    </row>
    <row r="609" ht="15.75" customHeight="1">
      <c r="H609" s="24"/>
      <c r="I609" s="24"/>
      <c r="J609" s="24"/>
      <c r="K609" s="24"/>
    </row>
    <row r="610" ht="15.75" customHeight="1">
      <c r="H610" s="24"/>
      <c r="I610" s="24"/>
      <c r="J610" s="24"/>
      <c r="K610" s="24"/>
    </row>
    <row r="611" ht="15.75" customHeight="1">
      <c r="H611" s="24"/>
      <c r="I611" s="24"/>
      <c r="J611" s="24"/>
      <c r="K611" s="24"/>
    </row>
    <row r="612" ht="15.75" customHeight="1">
      <c r="H612" s="24"/>
      <c r="I612" s="24"/>
      <c r="J612" s="24"/>
      <c r="K612" s="24"/>
    </row>
    <row r="613" ht="15.75" customHeight="1">
      <c r="H613" s="24"/>
      <c r="I613" s="24"/>
      <c r="J613" s="24"/>
      <c r="K613" s="24"/>
    </row>
    <row r="614" ht="15.75" customHeight="1">
      <c r="H614" s="24"/>
      <c r="I614" s="24"/>
      <c r="J614" s="24"/>
      <c r="K614" s="24"/>
    </row>
    <row r="615" ht="15.75" customHeight="1">
      <c r="H615" s="24"/>
      <c r="I615" s="24"/>
      <c r="J615" s="24"/>
      <c r="K615" s="24"/>
    </row>
    <row r="616" ht="15.75" customHeight="1">
      <c r="H616" s="24"/>
      <c r="I616" s="24"/>
      <c r="J616" s="24"/>
      <c r="K616" s="24"/>
    </row>
    <row r="617" ht="15.75" customHeight="1">
      <c r="H617" s="24"/>
      <c r="I617" s="24"/>
      <c r="J617" s="24"/>
      <c r="K617" s="24"/>
    </row>
    <row r="618" ht="15.75" customHeight="1">
      <c r="H618" s="24"/>
      <c r="I618" s="24"/>
      <c r="J618" s="24"/>
      <c r="K618" s="24"/>
    </row>
    <row r="619" ht="15.75" customHeight="1">
      <c r="H619" s="24"/>
      <c r="I619" s="24"/>
      <c r="J619" s="24"/>
      <c r="K619" s="24"/>
    </row>
    <row r="620" ht="15.75" customHeight="1">
      <c r="H620" s="24"/>
      <c r="I620" s="24"/>
      <c r="J620" s="24"/>
      <c r="K620" s="24"/>
    </row>
    <row r="621" ht="15.75" customHeight="1">
      <c r="H621" s="24"/>
      <c r="I621" s="24"/>
      <c r="J621" s="24"/>
      <c r="K621" s="24"/>
    </row>
    <row r="622" ht="15.75" customHeight="1">
      <c r="H622" s="24"/>
      <c r="I622" s="24"/>
      <c r="J622" s="24"/>
      <c r="K622" s="24"/>
    </row>
    <row r="623" ht="15.75" customHeight="1">
      <c r="H623" s="24"/>
      <c r="I623" s="24"/>
      <c r="J623" s="24"/>
      <c r="K623" s="24"/>
    </row>
    <row r="624" ht="15.75" customHeight="1">
      <c r="H624" s="24"/>
      <c r="I624" s="24"/>
      <c r="J624" s="24"/>
      <c r="K624" s="24"/>
    </row>
    <row r="625" ht="15.75" customHeight="1">
      <c r="H625" s="24"/>
      <c r="I625" s="24"/>
      <c r="J625" s="24"/>
      <c r="K625" s="24"/>
    </row>
    <row r="626" ht="15.75" customHeight="1">
      <c r="H626" s="24"/>
      <c r="I626" s="24"/>
      <c r="J626" s="24"/>
      <c r="K626" s="24"/>
    </row>
    <row r="627" ht="15.75" customHeight="1">
      <c r="H627" s="24"/>
      <c r="I627" s="24"/>
      <c r="J627" s="24"/>
      <c r="K627" s="24"/>
    </row>
    <row r="628" ht="15.75" customHeight="1">
      <c r="H628" s="24"/>
      <c r="I628" s="24"/>
      <c r="J628" s="24"/>
      <c r="K628" s="24"/>
    </row>
    <row r="629" ht="15.75" customHeight="1">
      <c r="H629" s="24"/>
      <c r="I629" s="24"/>
      <c r="J629" s="24"/>
      <c r="K629" s="24"/>
    </row>
    <row r="630" ht="15.75" customHeight="1">
      <c r="H630" s="24"/>
      <c r="I630" s="24"/>
      <c r="J630" s="24"/>
      <c r="K630" s="24"/>
    </row>
    <row r="631" ht="15.75" customHeight="1">
      <c r="H631" s="24"/>
      <c r="I631" s="24"/>
      <c r="J631" s="24"/>
      <c r="K631" s="24"/>
    </row>
    <row r="632" ht="15.75" customHeight="1">
      <c r="H632" s="24"/>
      <c r="I632" s="24"/>
      <c r="J632" s="24"/>
      <c r="K632" s="24"/>
    </row>
    <row r="633" ht="15.75" customHeight="1">
      <c r="H633" s="24"/>
      <c r="I633" s="24"/>
      <c r="J633" s="24"/>
      <c r="K633" s="24"/>
    </row>
    <row r="634" ht="15.75" customHeight="1">
      <c r="H634" s="24"/>
      <c r="I634" s="24"/>
      <c r="J634" s="24"/>
      <c r="K634" s="24"/>
    </row>
    <row r="635" ht="15.75" customHeight="1">
      <c r="H635" s="24"/>
      <c r="I635" s="24"/>
      <c r="J635" s="24"/>
      <c r="K635" s="24"/>
    </row>
    <row r="636" ht="15.75" customHeight="1">
      <c r="H636" s="24"/>
      <c r="I636" s="24"/>
      <c r="J636" s="24"/>
      <c r="K636" s="24"/>
    </row>
    <row r="637" ht="15.75" customHeight="1">
      <c r="H637" s="24"/>
      <c r="I637" s="24"/>
      <c r="J637" s="24"/>
      <c r="K637" s="24"/>
    </row>
    <row r="638" ht="15.75" customHeight="1">
      <c r="H638" s="24"/>
      <c r="I638" s="24"/>
      <c r="J638" s="24"/>
      <c r="K638" s="24"/>
    </row>
    <row r="639" ht="15.75" customHeight="1">
      <c r="H639" s="24"/>
      <c r="I639" s="24"/>
      <c r="J639" s="24"/>
      <c r="K639" s="24"/>
    </row>
    <row r="640" ht="15.75" customHeight="1">
      <c r="H640" s="24"/>
      <c r="I640" s="24"/>
      <c r="J640" s="24"/>
      <c r="K640" s="24"/>
    </row>
    <row r="641" ht="15.75" customHeight="1">
      <c r="H641" s="24"/>
      <c r="I641" s="24"/>
      <c r="J641" s="24"/>
      <c r="K641" s="24"/>
    </row>
    <row r="642" ht="15.75" customHeight="1">
      <c r="H642" s="24"/>
      <c r="I642" s="24"/>
      <c r="J642" s="24"/>
      <c r="K642" s="24"/>
    </row>
    <row r="643" ht="15.75" customHeight="1">
      <c r="H643" s="24"/>
      <c r="I643" s="24"/>
      <c r="J643" s="24"/>
      <c r="K643" s="24"/>
    </row>
    <row r="644" ht="15.75" customHeight="1">
      <c r="H644" s="24"/>
      <c r="I644" s="24"/>
      <c r="J644" s="24"/>
      <c r="K644" s="24"/>
    </row>
    <row r="645" ht="15.75" customHeight="1">
      <c r="H645" s="24"/>
      <c r="I645" s="24"/>
      <c r="J645" s="24"/>
      <c r="K645" s="24"/>
    </row>
    <row r="646" ht="15.75" customHeight="1">
      <c r="H646" s="24"/>
      <c r="I646" s="24"/>
      <c r="J646" s="24"/>
      <c r="K646" s="24"/>
    </row>
    <row r="647" ht="15.75" customHeight="1">
      <c r="H647" s="24"/>
      <c r="I647" s="24"/>
      <c r="J647" s="24"/>
      <c r="K647" s="24"/>
    </row>
    <row r="648" ht="15.75" customHeight="1">
      <c r="H648" s="24"/>
      <c r="I648" s="24"/>
      <c r="J648" s="24"/>
      <c r="K648" s="24"/>
    </row>
    <row r="649" ht="15.75" customHeight="1">
      <c r="H649" s="24"/>
      <c r="I649" s="24"/>
      <c r="J649" s="24"/>
      <c r="K649" s="24"/>
    </row>
    <row r="650" ht="15.75" customHeight="1">
      <c r="H650" s="24"/>
      <c r="I650" s="24"/>
      <c r="J650" s="24"/>
      <c r="K650" s="24"/>
    </row>
    <row r="651" ht="15.75" customHeight="1">
      <c r="H651" s="24"/>
      <c r="I651" s="24"/>
      <c r="J651" s="24"/>
      <c r="K651" s="24"/>
    </row>
    <row r="652" ht="15.75" customHeight="1">
      <c r="H652" s="24"/>
      <c r="I652" s="24"/>
      <c r="J652" s="24"/>
      <c r="K652" s="24"/>
    </row>
    <row r="653" ht="15.75" customHeight="1">
      <c r="H653" s="24"/>
      <c r="I653" s="24"/>
      <c r="J653" s="24"/>
      <c r="K653" s="24"/>
    </row>
    <row r="654" ht="15.75" customHeight="1">
      <c r="H654" s="24"/>
      <c r="I654" s="24"/>
      <c r="J654" s="24"/>
      <c r="K654" s="24"/>
    </row>
    <row r="655" ht="15.75" customHeight="1">
      <c r="H655" s="24"/>
      <c r="I655" s="24"/>
      <c r="J655" s="24"/>
      <c r="K655" s="24"/>
    </row>
    <row r="656" ht="15.75" customHeight="1">
      <c r="H656" s="24"/>
      <c r="I656" s="24"/>
      <c r="J656" s="24"/>
      <c r="K656" s="24"/>
    </row>
    <row r="657" ht="15.75" customHeight="1">
      <c r="H657" s="24"/>
      <c r="I657" s="24"/>
      <c r="J657" s="24"/>
      <c r="K657" s="24"/>
    </row>
    <row r="658" ht="15.75" customHeight="1">
      <c r="H658" s="24"/>
      <c r="I658" s="24"/>
      <c r="J658" s="24"/>
      <c r="K658" s="24"/>
    </row>
    <row r="659" ht="15.75" customHeight="1">
      <c r="H659" s="24"/>
      <c r="I659" s="24"/>
      <c r="J659" s="24"/>
      <c r="K659" s="24"/>
    </row>
    <row r="660" ht="15.75" customHeight="1">
      <c r="H660" s="24"/>
      <c r="I660" s="24"/>
      <c r="J660" s="24"/>
      <c r="K660" s="24"/>
    </row>
    <row r="661" ht="15.75" customHeight="1">
      <c r="H661" s="24"/>
      <c r="I661" s="24"/>
      <c r="J661" s="24"/>
      <c r="K661" s="24"/>
    </row>
    <row r="662" ht="15.75" customHeight="1">
      <c r="H662" s="24"/>
      <c r="I662" s="24"/>
      <c r="J662" s="24"/>
      <c r="K662" s="24"/>
    </row>
    <row r="663" ht="15.75" customHeight="1">
      <c r="H663" s="24"/>
      <c r="I663" s="24"/>
      <c r="J663" s="24"/>
      <c r="K663" s="24"/>
    </row>
    <row r="664" ht="15.75" customHeight="1">
      <c r="H664" s="24"/>
      <c r="I664" s="24"/>
      <c r="J664" s="24"/>
      <c r="K664" s="24"/>
    </row>
    <row r="665" ht="15.75" customHeight="1">
      <c r="H665" s="24"/>
      <c r="I665" s="24"/>
      <c r="J665" s="24"/>
      <c r="K665" s="24"/>
    </row>
    <row r="666" ht="15.75" customHeight="1">
      <c r="H666" s="24"/>
      <c r="I666" s="24"/>
      <c r="J666" s="24"/>
      <c r="K666" s="24"/>
    </row>
    <row r="667" ht="15.75" customHeight="1">
      <c r="H667" s="24"/>
      <c r="I667" s="24"/>
      <c r="J667" s="24"/>
      <c r="K667" s="24"/>
    </row>
    <row r="668" ht="15.75" customHeight="1">
      <c r="H668" s="24"/>
      <c r="I668" s="24"/>
      <c r="J668" s="24"/>
      <c r="K668" s="24"/>
    </row>
    <row r="669" ht="15.75" customHeight="1">
      <c r="H669" s="24"/>
      <c r="I669" s="24"/>
      <c r="J669" s="24"/>
      <c r="K669" s="24"/>
    </row>
    <row r="670" ht="15.75" customHeight="1">
      <c r="H670" s="24"/>
      <c r="I670" s="24"/>
      <c r="J670" s="24"/>
      <c r="K670" s="24"/>
    </row>
    <row r="671" ht="15.75" customHeight="1">
      <c r="H671" s="24"/>
      <c r="I671" s="24"/>
      <c r="J671" s="24"/>
      <c r="K671" s="24"/>
    </row>
    <row r="672" ht="15.75" customHeight="1">
      <c r="H672" s="24"/>
      <c r="I672" s="24"/>
      <c r="J672" s="24"/>
      <c r="K672" s="24"/>
    </row>
    <row r="673" ht="15.75" customHeight="1">
      <c r="H673" s="24"/>
      <c r="I673" s="24"/>
      <c r="J673" s="24"/>
      <c r="K673" s="24"/>
    </row>
    <row r="674" ht="15.75" customHeight="1">
      <c r="H674" s="24"/>
      <c r="I674" s="24"/>
      <c r="J674" s="24"/>
      <c r="K674" s="24"/>
    </row>
    <row r="675" ht="15.75" customHeight="1">
      <c r="H675" s="24"/>
      <c r="I675" s="24"/>
      <c r="J675" s="24"/>
      <c r="K675" s="24"/>
    </row>
    <row r="676" ht="15.75" customHeight="1">
      <c r="H676" s="24"/>
      <c r="I676" s="24"/>
      <c r="J676" s="24"/>
      <c r="K676" s="24"/>
    </row>
    <row r="677" ht="15.75" customHeight="1">
      <c r="H677" s="24"/>
      <c r="I677" s="24"/>
      <c r="J677" s="24"/>
      <c r="K677" s="24"/>
    </row>
    <row r="678" ht="15.75" customHeight="1">
      <c r="H678" s="24"/>
      <c r="I678" s="24"/>
      <c r="J678" s="24"/>
      <c r="K678" s="24"/>
    </row>
    <row r="679" ht="15.75" customHeight="1">
      <c r="H679" s="24"/>
      <c r="I679" s="24"/>
      <c r="J679" s="24"/>
      <c r="K679" s="24"/>
    </row>
    <row r="680" ht="15.75" customHeight="1">
      <c r="H680" s="24"/>
      <c r="I680" s="24"/>
      <c r="J680" s="24"/>
      <c r="K680" s="24"/>
    </row>
    <row r="681" ht="15.75" customHeight="1">
      <c r="H681" s="24"/>
      <c r="I681" s="24"/>
      <c r="J681" s="24"/>
      <c r="K681" s="24"/>
    </row>
    <row r="682" ht="15.75" customHeight="1">
      <c r="H682" s="24"/>
      <c r="I682" s="24"/>
      <c r="J682" s="24"/>
      <c r="K682" s="24"/>
    </row>
    <row r="683" ht="15.75" customHeight="1">
      <c r="H683" s="24"/>
      <c r="I683" s="24"/>
      <c r="J683" s="24"/>
      <c r="K683" s="24"/>
    </row>
    <row r="684" ht="15.75" customHeight="1">
      <c r="H684" s="24"/>
      <c r="I684" s="24"/>
      <c r="J684" s="24"/>
      <c r="K684" s="24"/>
    </row>
    <row r="685" ht="15.75" customHeight="1">
      <c r="H685" s="24"/>
      <c r="I685" s="24"/>
      <c r="J685" s="24"/>
      <c r="K685" s="24"/>
    </row>
    <row r="686" ht="15.75" customHeight="1">
      <c r="H686" s="24"/>
      <c r="I686" s="24"/>
      <c r="J686" s="24"/>
      <c r="K686" s="24"/>
    </row>
    <row r="687" ht="15.75" customHeight="1">
      <c r="H687" s="24"/>
      <c r="I687" s="24"/>
      <c r="J687" s="24"/>
      <c r="K687" s="24"/>
    </row>
    <row r="688" ht="15.75" customHeight="1">
      <c r="H688" s="24"/>
      <c r="I688" s="24"/>
      <c r="J688" s="24"/>
      <c r="K688" s="24"/>
    </row>
    <row r="689" ht="15.75" customHeight="1">
      <c r="H689" s="24"/>
      <c r="I689" s="24"/>
      <c r="J689" s="24"/>
      <c r="K689" s="24"/>
    </row>
    <row r="690" ht="15.75" customHeight="1">
      <c r="H690" s="24"/>
      <c r="I690" s="24"/>
      <c r="J690" s="24"/>
      <c r="K690" s="24"/>
    </row>
    <row r="691" ht="15.75" customHeight="1">
      <c r="H691" s="24"/>
      <c r="I691" s="24"/>
      <c r="J691" s="24"/>
      <c r="K691" s="24"/>
    </row>
    <row r="692" ht="15.75" customHeight="1">
      <c r="H692" s="24"/>
      <c r="I692" s="24"/>
      <c r="J692" s="24"/>
      <c r="K692" s="24"/>
    </row>
    <row r="693" ht="15.75" customHeight="1">
      <c r="H693" s="24"/>
      <c r="I693" s="24"/>
      <c r="J693" s="24"/>
      <c r="K693" s="24"/>
    </row>
    <row r="694" ht="15.75" customHeight="1">
      <c r="H694" s="24"/>
      <c r="I694" s="24"/>
      <c r="J694" s="24"/>
      <c r="K694" s="24"/>
    </row>
    <row r="695" ht="15.75" customHeight="1">
      <c r="H695" s="24"/>
      <c r="I695" s="24"/>
      <c r="J695" s="24"/>
      <c r="K695" s="24"/>
    </row>
    <row r="696" ht="15.75" customHeight="1">
      <c r="H696" s="24"/>
      <c r="I696" s="24"/>
      <c r="J696" s="24"/>
      <c r="K696" s="24"/>
    </row>
    <row r="697" ht="15.75" customHeight="1">
      <c r="H697" s="24"/>
      <c r="I697" s="24"/>
      <c r="J697" s="24"/>
      <c r="K697" s="24"/>
    </row>
    <row r="698" ht="15.75" customHeight="1">
      <c r="H698" s="24"/>
      <c r="I698" s="24"/>
      <c r="J698" s="24"/>
      <c r="K698" s="24"/>
    </row>
    <row r="699" ht="15.75" customHeight="1">
      <c r="H699" s="24"/>
      <c r="I699" s="24"/>
      <c r="J699" s="24"/>
      <c r="K699" s="24"/>
    </row>
    <row r="700" ht="15.75" customHeight="1">
      <c r="H700" s="24"/>
      <c r="I700" s="24"/>
      <c r="J700" s="24"/>
      <c r="K700" s="24"/>
    </row>
    <row r="701" ht="15.75" customHeight="1">
      <c r="H701" s="24"/>
      <c r="I701" s="24"/>
      <c r="J701" s="24"/>
      <c r="K701" s="24"/>
    </row>
    <row r="702" ht="15.75" customHeight="1">
      <c r="H702" s="24"/>
      <c r="I702" s="24"/>
      <c r="J702" s="24"/>
      <c r="K702" s="24"/>
    </row>
    <row r="703" ht="15.75" customHeight="1">
      <c r="H703" s="24"/>
      <c r="I703" s="24"/>
      <c r="J703" s="24"/>
      <c r="K703" s="24"/>
    </row>
    <row r="704" ht="15.75" customHeight="1">
      <c r="H704" s="24"/>
      <c r="I704" s="24"/>
      <c r="J704" s="24"/>
      <c r="K704" s="24"/>
    </row>
    <row r="705" ht="15.75" customHeight="1">
      <c r="H705" s="24"/>
      <c r="I705" s="24"/>
      <c r="J705" s="24"/>
      <c r="K705" s="24"/>
    </row>
    <row r="706" ht="15.75" customHeight="1">
      <c r="H706" s="24"/>
      <c r="I706" s="24"/>
      <c r="J706" s="24"/>
      <c r="K706" s="24"/>
    </row>
    <row r="707" ht="15.75" customHeight="1">
      <c r="H707" s="24"/>
      <c r="I707" s="24"/>
      <c r="J707" s="24"/>
      <c r="K707" s="24"/>
    </row>
    <row r="708" ht="15.75" customHeight="1">
      <c r="H708" s="24"/>
      <c r="I708" s="24"/>
      <c r="J708" s="24"/>
      <c r="K708" s="24"/>
    </row>
    <row r="709" ht="15.75" customHeight="1">
      <c r="H709" s="24"/>
      <c r="I709" s="24"/>
      <c r="J709" s="24"/>
      <c r="K709" s="24"/>
    </row>
    <row r="710" ht="15.75" customHeight="1">
      <c r="H710" s="24"/>
      <c r="I710" s="24"/>
      <c r="J710" s="24"/>
      <c r="K710" s="24"/>
    </row>
    <row r="711" ht="15.75" customHeight="1">
      <c r="H711" s="24"/>
      <c r="I711" s="24"/>
      <c r="J711" s="24"/>
      <c r="K711" s="24"/>
    </row>
    <row r="712" ht="15.75" customHeight="1">
      <c r="H712" s="24"/>
      <c r="I712" s="24"/>
      <c r="J712" s="24"/>
      <c r="K712" s="24"/>
    </row>
    <row r="713" ht="15.75" customHeight="1">
      <c r="H713" s="24"/>
      <c r="I713" s="24"/>
      <c r="J713" s="24"/>
      <c r="K713" s="24"/>
    </row>
    <row r="714" ht="15.75" customHeight="1">
      <c r="H714" s="24"/>
      <c r="I714" s="24"/>
      <c r="J714" s="24"/>
      <c r="K714" s="24"/>
    </row>
    <row r="715" ht="15.75" customHeight="1">
      <c r="H715" s="24"/>
      <c r="I715" s="24"/>
      <c r="J715" s="24"/>
      <c r="K715" s="24"/>
    </row>
    <row r="716" ht="15.75" customHeight="1">
      <c r="H716" s="24"/>
      <c r="I716" s="24"/>
      <c r="J716" s="24"/>
      <c r="K716" s="24"/>
    </row>
    <row r="717" ht="15.75" customHeight="1">
      <c r="H717" s="24"/>
      <c r="I717" s="24"/>
      <c r="J717" s="24"/>
      <c r="K717" s="24"/>
    </row>
    <row r="718" ht="15.75" customHeight="1">
      <c r="H718" s="24"/>
      <c r="I718" s="24"/>
      <c r="J718" s="24"/>
      <c r="K718" s="24"/>
    </row>
    <row r="719" ht="15.75" customHeight="1">
      <c r="H719" s="24"/>
      <c r="I719" s="24"/>
      <c r="J719" s="24"/>
      <c r="K719" s="24"/>
    </row>
    <row r="720" ht="15.75" customHeight="1">
      <c r="H720" s="24"/>
      <c r="I720" s="24"/>
      <c r="J720" s="24"/>
      <c r="K720" s="24"/>
    </row>
    <row r="721" ht="15.75" customHeight="1">
      <c r="H721" s="24"/>
      <c r="I721" s="24"/>
      <c r="J721" s="24"/>
      <c r="K721" s="24"/>
    </row>
    <row r="722" ht="15.75" customHeight="1">
      <c r="H722" s="24"/>
      <c r="I722" s="24"/>
      <c r="J722" s="24"/>
      <c r="K722" s="24"/>
    </row>
    <row r="723" ht="15.75" customHeight="1">
      <c r="H723" s="24"/>
      <c r="I723" s="24"/>
      <c r="J723" s="24"/>
      <c r="K723" s="24"/>
    </row>
    <row r="724" ht="15.75" customHeight="1">
      <c r="H724" s="24"/>
      <c r="I724" s="24"/>
      <c r="J724" s="24"/>
      <c r="K724" s="24"/>
    </row>
    <row r="725" ht="15.75" customHeight="1">
      <c r="H725" s="24"/>
      <c r="I725" s="24"/>
      <c r="J725" s="24"/>
      <c r="K725" s="24"/>
    </row>
    <row r="726" ht="15.75" customHeight="1">
      <c r="H726" s="24"/>
      <c r="I726" s="24"/>
      <c r="J726" s="24"/>
      <c r="K726" s="24"/>
    </row>
    <row r="727" ht="15.75" customHeight="1">
      <c r="H727" s="24"/>
      <c r="I727" s="24"/>
      <c r="J727" s="24"/>
      <c r="K727" s="24"/>
    </row>
    <row r="728" ht="15.75" customHeight="1">
      <c r="H728" s="24"/>
      <c r="I728" s="24"/>
      <c r="J728" s="24"/>
      <c r="K728" s="24"/>
    </row>
    <row r="729" ht="15.75" customHeight="1">
      <c r="H729" s="24"/>
      <c r="I729" s="24"/>
      <c r="J729" s="24"/>
      <c r="K729" s="24"/>
    </row>
    <row r="730" ht="15.75" customHeight="1">
      <c r="H730" s="24"/>
      <c r="I730" s="24"/>
      <c r="J730" s="24"/>
      <c r="K730" s="24"/>
    </row>
    <row r="731" ht="15.75" customHeight="1">
      <c r="H731" s="24"/>
      <c r="I731" s="24"/>
      <c r="J731" s="24"/>
      <c r="K731" s="24"/>
    </row>
    <row r="732" ht="15.75" customHeight="1">
      <c r="H732" s="24"/>
      <c r="I732" s="24"/>
      <c r="J732" s="24"/>
      <c r="K732" s="24"/>
    </row>
    <row r="733" ht="15.75" customHeight="1">
      <c r="H733" s="24"/>
      <c r="I733" s="24"/>
      <c r="J733" s="24"/>
      <c r="K733" s="24"/>
    </row>
    <row r="734" ht="15.75" customHeight="1">
      <c r="H734" s="24"/>
      <c r="I734" s="24"/>
      <c r="J734" s="24"/>
      <c r="K734" s="24"/>
    </row>
    <row r="735" ht="15.75" customHeight="1">
      <c r="H735" s="24"/>
      <c r="I735" s="24"/>
      <c r="J735" s="24"/>
      <c r="K735" s="24"/>
    </row>
    <row r="736" ht="15.75" customHeight="1">
      <c r="H736" s="24"/>
      <c r="I736" s="24"/>
      <c r="J736" s="24"/>
      <c r="K736" s="24"/>
    </row>
    <row r="737" ht="15.75" customHeight="1">
      <c r="H737" s="24"/>
      <c r="I737" s="24"/>
      <c r="J737" s="24"/>
      <c r="K737" s="24"/>
    </row>
    <row r="738" ht="15.75" customHeight="1">
      <c r="H738" s="24"/>
      <c r="I738" s="24"/>
      <c r="J738" s="24"/>
      <c r="K738" s="24"/>
    </row>
    <row r="739" ht="15.75" customHeight="1">
      <c r="H739" s="24"/>
      <c r="I739" s="24"/>
      <c r="J739" s="24"/>
      <c r="K739" s="24"/>
    </row>
    <row r="740" ht="15.75" customHeight="1">
      <c r="H740" s="24"/>
      <c r="I740" s="24"/>
      <c r="J740" s="24"/>
      <c r="K740" s="24"/>
    </row>
    <row r="741" ht="15.75" customHeight="1">
      <c r="H741" s="24"/>
      <c r="I741" s="24"/>
      <c r="J741" s="24"/>
      <c r="K741" s="24"/>
    </row>
    <row r="742" ht="15.75" customHeight="1">
      <c r="H742" s="24"/>
      <c r="I742" s="24"/>
      <c r="J742" s="24"/>
      <c r="K742" s="24"/>
    </row>
    <row r="743" ht="15.75" customHeight="1">
      <c r="H743" s="24"/>
      <c r="I743" s="24"/>
      <c r="J743" s="24"/>
      <c r="K743" s="24"/>
    </row>
    <row r="744" ht="15.75" customHeight="1">
      <c r="H744" s="24"/>
      <c r="I744" s="24"/>
      <c r="J744" s="24"/>
      <c r="K744" s="24"/>
    </row>
    <row r="745" ht="15.75" customHeight="1">
      <c r="H745" s="24"/>
      <c r="I745" s="24"/>
      <c r="J745" s="24"/>
      <c r="K745" s="24"/>
    </row>
    <row r="746" ht="15.75" customHeight="1">
      <c r="H746" s="24"/>
      <c r="I746" s="24"/>
      <c r="J746" s="24"/>
      <c r="K746" s="24"/>
    </row>
    <row r="747" ht="15.75" customHeight="1">
      <c r="H747" s="24"/>
      <c r="I747" s="24"/>
      <c r="J747" s="24"/>
      <c r="K747" s="24"/>
    </row>
    <row r="748" ht="15.75" customHeight="1">
      <c r="H748" s="24"/>
      <c r="I748" s="24"/>
      <c r="J748" s="24"/>
      <c r="K748" s="24"/>
    </row>
    <row r="749" ht="15.75" customHeight="1">
      <c r="H749" s="24"/>
      <c r="I749" s="24"/>
      <c r="J749" s="24"/>
      <c r="K749" s="24"/>
    </row>
    <row r="750" ht="15.75" customHeight="1">
      <c r="H750" s="24"/>
      <c r="I750" s="24"/>
      <c r="J750" s="24"/>
      <c r="K750" s="24"/>
    </row>
    <row r="751" ht="15.75" customHeight="1">
      <c r="H751" s="24"/>
      <c r="I751" s="24"/>
      <c r="J751" s="24"/>
      <c r="K751" s="24"/>
    </row>
    <row r="752" ht="15.75" customHeight="1">
      <c r="H752" s="24"/>
      <c r="I752" s="24"/>
      <c r="J752" s="24"/>
      <c r="K752" s="24"/>
    </row>
    <row r="753" ht="15.75" customHeight="1">
      <c r="H753" s="24"/>
      <c r="I753" s="24"/>
      <c r="J753" s="24"/>
      <c r="K753" s="24"/>
    </row>
    <row r="754" ht="15.75" customHeight="1">
      <c r="H754" s="24"/>
      <c r="I754" s="24"/>
      <c r="J754" s="24"/>
      <c r="K754" s="24"/>
    </row>
    <row r="755" ht="15.75" customHeight="1">
      <c r="H755" s="24"/>
      <c r="I755" s="24"/>
      <c r="J755" s="24"/>
      <c r="K755" s="24"/>
    </row>
    <row r="756" ht="15.75" customHeight="1">
      <c r="H756" s="24"/>
      <c r="I756" s="24"/>
      <c r="J756" s="24"/>
      <c r="K756" s="24"/>
    </row>
    <row r="757" ht="15.75" customHeight="1">
      <c r="H757" s="24"/>
      <c r="I757" s="24"/>
      <c r="J757" s="24"/>
      <c r="K757" s="24"/>
    </row>
    <row r="758" ht="15.75" customHeight="1">
      <c r="H758" s="24"/>
      <c r="I758" s="24"/>
      <c r="J758" s="24"/>
      <c r="K758" s="24"/>
    </row>
    <row r="759" ht="15.75" customHeight="1">
      <c r="H759" s="24"/>
      <c r="I759" s="24"/>
      <c r="J759" s="24"/>
      <c r="K759" s="24"/>
    </row>
    <row r="760" ht="15.75" customHeight="1">
      <c r="H760" s="24"/>
      <c r="I760" s="24"/>
      <c r="J760" s="24"/>
      <c r="K760" s="24"/>
    </row>
    <row r="761" ht="15.75" customHeight="1">
      <c r="H761" s="24"/>
      <c r="I761" s="24"/>
      <c r="J761" s="24"/>
      <c r="K761" s="24"/>
    </row>
    <row r="762" ht="15.75" customHeight="1">
      <c r="H762" s="24"/>
      <c r="I762" s="24"/>
      <c r="J762" s="24"/>
      <c r="K762" s="24"/>
    </row>
    <row r="763" ht="15.75" customHeight="1">
      <c r="H763" s="24"/>
      <c r="I763" s="24"/>
      <c r="J763" s="24"/>
      <c r="K763" s="24"/>
    </row>
    <row r="764" ht="15.75" customHeight="1">
      <c r="H764" s="24"/>
      <c r="I764" s="24"/>
      <c r="J764" s="24"/>
      <c r="K764" s="24"/>
    </row>
    <row r="765" ht="15.75" customHeight="1">
      <c r="H765" s="24"/>
      <c r="I765" s="24"/>
      <c r="J765" s="24"/>
      <c r="K765" s="24"/>
    </row>
    <row r="766" ht="15.75" customHeight="1">
      <c r="H766" s="24"/>
      <c r="I766" s="24"/>
      <c r="J766" s="24"/>
      <c r="K766" s="24"/>
    </row>
    <row r="767" ht="15.75" customHeight="1">
      <c r="H767" s="24"/>
      <c r="I767" s="24"/>
      <c r="J767" s="24"/>
      <c r="K767" s="24"/>
    </row>
    <row r="768" ht="15.75" customHeight="1">
      <c r="H768" s="24"/>
      <c r="I768" s="24"/>
      <c r="J768" s="24"/>
      <c r="K768" s="24"/>
    </row>
    <row r="769" ht="15.75" customHeight="1">
      <c r="H769" s="24"/>
      <c r="I769" s="24"/>
      <c r="J769" s="24"/>
      <c r="K769" s="24"/>
    </row>
    <row r="770" ht="15.75" customHeight="1">
      <c r="H770" s="24"/>
      <c r="I770" s="24"/>
      <c r="J770" s="24"/>
      <c r="K770" s="24"/>
    </row>
    <row r="771" ht="15.75" customHeight="1">
      <c r="H771" s="24"/>
      <c r="I771" s="24"/>
      <c r="J771" s="24"/>
      <c r="K771" s="24"/>
    </row>
    <row r="772" ht="15.75" customHeight="1">
      <c r="H772" s="24"/>
      <c r="I772" s="24"/>
      <c r="J772" s="24"/>
      <c r="K772" s="24"/>
    </row>
    <row r="773" ht="15.75" customHeight="1">
      <c r="H773" s="24"/>
      <c r="I773" s="24"/>
      <c r="J773" s="24"/>
      <c r="K773" s="24"/>
    </row>
    <row r="774" ht="15.75" customHeight="1">
      <c r="H774" s="24"/>
      <c r="I774" s="24"/>
      <c r="J774" s="24"/>
      <c r="K774" s="24"/>
    </row>
    <row r="775" ht="15.75" customHeight="1">
      <c r="H775" s="24"/>
      <c r="I775" s="24"/>
      <c r="J775" s="24"/>
      <c r="K775" s="24"/>
    </row>
    <row r="776" ht="15.75" customHeight="1">
      <c r="H776" s="24"/>
      <c r="I776" s="24"/>
      <c r="J776" s="24"/>
      <c r="K776" s="24"/>
    </row>
    <row r="777" ht="15.75" customHeight="1">
      <c r="H777" s="24"/>
      <c r="I777" s="24"/>
      <c r="J777" s="24"/>
      <c r="K777" s="24"/>
    </row>
    <row r="778" ht="15.75" customHeight="1">
      <c r="H778" s="24"/>
      <c r="I778" s="24"/>
      <c r="J778" s="24"/>
      <c r="K778" s="24"/>
    </row>
    <row r="779" ht="15.75" customHeight="1">
      <c r="H779" s="24"/>
      <c r="I779" s="24"/>
      <c r="J779" s="24"/>
      <c r="K779" s="24"/>
    </row>
    <row r="780" ht="15.75" customHeight="1">
      <c r="H780" s="24"/>
      <c r="I780" s="24"/>
      <c r="J780" s="24"/>
      <c r="K780" s="24"/>
    </row>
    <row r="781" ht="15.75" customHeight="1">
      <c r="H781" s="24"/>
      <c r="I781" s="24"/>
      <c r="J781" s="24"/>
      <c r="K781" s="24"/>
    </row>
    <row r="782" ht="15.75" customHeight="1">
      <c r="H782" s="24"/>
      <c r="I782" s="24"/>
      <c r="J782" s="24"/>
      <c r="K782" s="24"/>
    </row>
    <row r="783" ht="15.75" customHeight="1">
      <c r="H783" s="24"/>
      <c r="I783" s="24"/>
      <c r="J783" s="24"/>
      <c r="K783" s="24"/>
    </row>
    <row r="784" ht="15.75" customHeight="1">
      <c r="H784" s="24"/>
      <c r="I784" s="24"/>
      <c r="J784" s="24"/>
      <c r="K784" s="24"/>
    </row>
    <row r="785" ht="15.75" customHeight="1">
      <c r="H785" s="24"/>
      <c r="I785" s="24"/>
      <c r="J785" s="24"/>
      <c r="K785" s="24"/>
    </row>
    <row r="786" ht="15.75" customHeight="1">
      <c r="H786" s="24"/>
      <c r="I786" s="24"/>
      <c r="J786" s="24"/>
      <c r="K786" s="24"/>
    </row>
    <row r="787" ht="15.75" customHeight="1">
      <c r="H787" s="24"/>
      <c r="I787" s="24"/>
      <c r="J787" s="24"/>
      <c r="K787" s="24"/>
    </row>
    <row r="788" ht="15.75" customHeight="1">
      <c r="H788" s="24"/>
      <c r="I788" s="24"/>
      <c r="J788" s="24"/>
      <c r="K788" s="24"/>
    </row>
    <row r="789" ht="15.75" customHeight="1">
      <c r="H789" s="24"/>
      <c r="I789" s="24"/>
      <c r="J789" s="24"/>
      <c r="K789" s="24"/>
    </row>
    <row r="790" ht="15.75" customHeight="1">
      <c r="H790" s="24"/>
      <c r="I790" s="24"/>
      <c r="J790" s="24"/>
      <c r="K790" s="24"/>
    </row>
    <row r="791" ht="15.75" customHeight="1">
      <c r="H791" s="24"/>
      <c r="I791" s="24"/>
      <c r="J791" s="24"/>
      <c r="K791" s="24"/>
    </row>
    <row r="792" ht="15.75" customHeight="1">
      <c r="H792" s="24"/>
      <c r="I792" s="24"/>
      <c r="J792" s="24"/>
      <c r="K792" s="24"/>
    </row>
    <row r="793" ht="15.75" customHeight="1">
      <c r="H793" s="24"/>
      <c r="I793" s="24"/>
      <c r="J793" s="24"/>
      <c r="K793" s="24"/>
    </row>
    <row r="794" ht="15.75" customHeight="1">
      <c r="H794" s="24"/>
      <c r="I794" s="24"/>
      <c r="J794" s="24"/>
      <c r="K794" s="24"/>
    </row>
    <row r="795" ht="15.75" customHeight="1">
      <c r="H795" s="24"/>
      <c r="I795" s="24"/>
      <c r="J795" s="24"/>
      <c r="K795" s="24"/>
    </row>
    <row r="796" ht="15.75" customHeight="1">
      <c r="H796" s="24"/>
      <c r="I796" s="24"/>
      <c r="J796" s="24"/>
      <c r="K796" s="24"/>
    </row>
    <row r="797" ht="15.75" customHeight="1">
      <c r="H797" s="24"/>
      <c r="I797" s="24"/>
      <c r="J797" s="24"/>
      <c r="K797" s="24"/>
    </row>
    <row r="798" ht="15.75" customHeight="1">
      <c r="H798" s="24"/>
      <c r="I798" s="24"/>
      <c r="J798" s="24"/>
      <c r="K798" s="24"/>
    </row>
    <row r="799" ht="15.75" customHeight="1">
      <c r="H799" s="24"/>
      <c r="I799" s="24"/>
      <c r="J799" s="24"/>
      <c r="K799" s="24"/>
    </row>
    <row r="800" ht="15.75" customHeight="1">
      <c r="H800" s="24"/>
      <c r="I800" s="24"/>
      <c r="J800" s="24"/>
      <c r="K800" s="24"/>
    </row>
    <row r="801" ht="15.75" customHeight="1">
      <c r="H801" s="24"/>
      <c r="I801" s="24"/>
      <c r="J801" s="24"/>
      <c r="K801" s="24"/>
    </row>
    <row r="802" ht="15.75" customHeight="1">
      <c r="H802" s="24"/>
      <c r="I802" s="24"/>
      <c r="J802" s="24"/>
      <c r="K802" s="24"/>
    </row>
    <row r="803" ht="15.75" customHeight="1">
      <c r="H803" s="24"/>
      <c r="I803" s="24"/>
      <c r="J803" s="24"/>
      <c r="K803" s="24"/>
    </row>
    <row r="804" ht="15.75" customHeight="1">
      <c r="H804" s="24"/>
      <c r="I804" s="24"/>
      <c r="J804" s="24"/>
      <c r="K804" s="24"/>
    </row>
    <row r="805" ht="15.75" customHeight="1">
      <c r="H805" s="24"/>
      <c r="I805" s="24"/>
      <c r="J805" s="24"/>
      <c r="K805" s="24"/>
    </row>
    <row r="806" ht="15.75" customHeight="1">
      <c r="H806" s="24"/>
      <c r="I806" s="24"/>
      <c r="J806" s="24"/>
      <c r="K806" s="24"/>
    </row>
    <row r="807" ht="15.75" customHeight="1">
      <c r="H807" s="24"/>
      <c r="I807" s="24"/>
      <c r="J807" s="24"/>
      <c r="K807" s="24"/>
    </row>
    <row r="808" ht="15.75" customHeight="1">
      <c r="H808" s="24"/>
      <c r="I808" s="24"/>
      <c r="J808" s="24"/>
      <c r="K808" s="24"/>
    </row>
    <row r="809" ht="15.75" customHeight="1">
      <c r="H809" s="24"/>
      <c r="I809" s="24"/>
      <c r="J809" s="24"/>
      <c r="K809" s="24"/>
    </row>
    <row r="810" ht="15.75" customHeight="1">
      <c r="H810" s="24"/>
      <c r="I810" s="24"/>
      <c r="J810" s="24"/>
      <c r="K810" s="24"/>
    </row>
    <row r="811" ht="15.75" customHeight="1">
      <c r="H811" s="24"/>
      <c r="I811" s="24"/>
      <c r="J811" s="24"/>
      <c r="K811" s="24"/>
    </row>
    <row r="812" ht="15.75" customHeight="1">
      <c r="H812" s="24"/>
      <c r="I812" s="24"/>
      <c r="J812" s="24"/>
      <c r="K812" s="24"/>
    </row>
    <row r="813" ht="15.75" customHeight="1">
      <c r="H813" s="24"/>
      <c r="I813" s="24"/>
      <c r="J813" s="24"/>
      <c r="K813" s="24"/>
    </row>
    <row r="814" ht="15.75" customHeight="1">
      <c r="H814" s="24"/>
      <c r="I814" s="24"/>
      <c r="J814" s="24"/>
      <c r="K814" s="24"/>
    </row>
    <row r="815" ht="15.75" customHeight="1">
      <c r="H815" s="24"/>
      <c r="I815" s="24"/>
      <c r="J815" s="24"/>
      <c r="K815" s="24"/>
    </row>
    <row r="816" ht="15.75" customHeight="1">
      <c r="H816" s="24"/>
      <c r="I816" s="24"/>
      <c r="J816" s="24"/>
      <c r="K816" s="24"/>
    </row>
    <row r="817" ht="15.75" customHeight="1">
      <c r="H817" s="24"/>
      <c r="I817" s="24"/>
      <c r="J817" s="24"/>
      <c r="K817" s="24"/>
    </row>
    <row r="818" ht="15.75" customHeight="1">
      <c r="H818" s="24"/>
      <c r="I818" s="24"/>
      <c r="J818" s="24"/>
      <c r="K818" s="24"/>
    </row>
    <row r="819" ht="15.75" customHeight="1">
      <c r="H819" s="24"/>
      <c r="I819" s="24"/>
      <c r="J819" s="24"/>
      <c r="K819" s="24"/>
    </row>
    <row r="820" ht="15.75" customHeight="1">
      <c r="H820" s="24"/>
      <c r="I820" s="24"/>
      <c r="J820" s="24"/>
      <c r="K820" s="24"/>
    </row>
    <row r="821" ht="15.75" customHeight="1">
      <c r="H821" s="24"/>
      <c r="I821" s="24"/>
      <c r="J821" s="24"/>
      <c r="K821" s="24"/>
    </row>
    <row r="822" ht="15.75" customHeight="1">
      <c r="H822" s="24"/>
      <c r="I822" s="24"/>
      <c r="J822" s="24"/>
      <c r="K822" s="24"/>
    </row>
    <row r="823" ht="15.75" customHeight="1">
      <c r="H823" s="24"/>
      <c r="I823" s="24"/>
      <c r="J823" s="24"/>
      <c r="K823" s="24"/>
    </row>
    <row r="824" ht="15.75" customHeight="1">
      <c r="H824" s="24"/>
      <c r="I824" s="24"/>
      <c r="J824" s="24"/>
      <c r="K824" s="24"/>
    </row>
    <row r="825" ht="15.75" customHeight="1">
      <c r="H825" s="24"/>
      <c r="I825" s="24"/>
      <c r="J825" s="24"/>
      <c r="K825" s="24"/>
    </row>
    <row r="826" ht="15.75" customHeight="1">
      <c r="H826" s="24"/>
      <c r="I826" s="24"/>
      <c r="J826" s="24"/>
      <c r="K826" s="24"/>
    </row>
    <row r="827" ht="15.75" customHeight="1">
      <c r="H827" s="24"/>
      <c r="I827" s="24"/>
      <c r="J827" s="24"/>
      <c r="K827" s="24"/>
    </row>
    <row r="828" ht="15.75" customHeight="1">
      <c r="H828" s="24"/>
      <c r="I828" s="24"/>
      <c r="J828" s="24"/>
      <c r="K828" s="24"/>
    </row>
    <row r="829" ht="15.75" customHeight="1">
      <c r="H829" s="24"/>
      <c r="I829" s="24"/>
      <c r="J829" s="24"/>
      <c r="K829" s="24"/>
    </row>
    <row r="830" ht="15.75" customHeight="1">
      <c r="H830" s="24"/>
      <c r="I830" s="24"/>
      <c r="J830" s="24"/>
      <c r="K830" s="24"/>
    </row>
    <row r="831" ht="15.75" customHeight="1">
      <c r="H831" s="24"/>
      <c r="I831" s="24"/>
      <c r="J831" s="24"/>
      <c r="K831" s="24"/>
    </row>
    <row r="832" ht="15.75" customHeight="1">
      <c r="H832" s="24"/>
      <c r="I832" s="24"/>
      <c r="J832" s="24"/>
      <c r="K832" s="24"/>
    </row>
    <row r="833" ht="15.75" customHeight="1">
      <c r="H833" s="24"/>
      <c r="I833" s="24"/>
      <c r="J833" s="24"/>
      <c r="K833" s="24"/>
    </row>
    <row r="834" ht="15.75" customHeight="1">
      <c r="H834" s="24"/>
      <c r="I834" s="24"/>
      <c r="J834" s="24"/>
      <c r="K834" s="24"/>
    </row>
    <row r="835" ht="15.75" customHeight="1">
      <c r="H835" s="24"/>
      <c r="I835" s="24"/>
      <c r="J835" s="24"/>
      <c r="K835" s="24"/>
    </row>
    <row r="836" ht="15.75" customHeight="1">
      <c r="H836" s="24"/>
      <c r="I836" s="24"/>
      <c r="J836" s="24"/>
      <c r="K836" s="24"/>
    </row>
    <row r="837" ht="15.75" customHeight="1">
      <c r="H837" s="24"/>
      <c r="I837" s="24"/>
      <c r="J837" s="24"/>
      <c r="K837" s="24"/>
    </row>
    <row r="838" ht="15.75" customHeight="1">
      <c r="H838" s="24"/>
      <c r="I838" s="24"/>
      <c r="J838" s="24"/>
      <c r="K838" s="24"/>
    </row>
    <row r="839" ht="15.75" customHeight="1">
      <c r="H839" s="24"/>
      <c r="I839" s="24"/>
      <c r="J839" s="24"/>
      <c r="K839" s="24"/>
    </row>
    <row r="840" ht="15.75" customHeight="1">
      <c r="H840" s="24"/>
      <c r="I840" s="24"/>
      <c r="J840" s="24"/>
      <c r="K840" s="24"/>
    </row>
    <row r="841" ht="15.75" customHeight="1">
      <c r="H841" s="24"/>
      <c r="I841" s="24"/>
      <c r="J841" s="24"/>
      <c r="K841" s="24"/>
    </row>
    <row r="842" ht="15.75" customHeight="1">
      <c r="H842" s="24"/>
      <c r="I842" s="24"/>
      <c r="J842" s="24"/>
      <c r="K842" s="24"/>
    </row>
    <row r="843" ht="15.75" customHeight="1">
      <c r="H843" s="24"/>
      <c r="I843" s="24"/>
      <c r="J843" s="24"/>
      <c r="K843" s="24"/>
    </row>
    <row r="844" ht="15.75" customHeight="1">
      <c r="H844" s="24"/>
      <c r="I844" s="24"/>
      <c r="J844" s="24"/>
      <c r="K844" s="24"/>
    </row>
    <row r="845" ht="15.75" customHeight="1">
      <c r="H845" s="24"/>
      <c r="I845" s="24"/>
      <c r="J845" s="24"/>
      <c r="K845" s="24"/>
    </row>
    <row r="846" ht="15.75" customHeight="1">
      <c r="H846" s="24"/>
      <c r="I846" s="24"/>
      <c r="J846" s="24"/>
      <c r="K846" s="24"/>
    </row>
    <row r="847" ht="15.75" customHeight="1">
      <c r="H847" s="24"/>
      <c r="I847" s="24"/>
      <c r="J847" s="24"/>
      <c r="K847" s="24"/>
    </row>
    <row r="848" ht="15.75" customHeight="1">
      <c r="H848" s="24"/>
      <c r="I848" s="24"/>
      <c r="J848" s="24"/>
      <c r="K848" s="24"/>
    </row>
    <row r="849" ht="15.75" customHeight="1">
      <c r="H849" s="24"/>
      <c r="I849" s="24"/>
      <c r="J849" s="24"/>
      <c r="K849" s="24"/>
    </row>
    <row r="850" ht="15.75" customHeight="1">
      <c r="H850" s="24"/>
      <c r="I850" s="24"/>
      <c r="J850" s="24"/>
      <c r="K850" s="24"/>
    </row>
    <row r="851" ht="15.75" customHeight="1">
      <c r="H851" s="24"/>
      <c r="I851" s="24"/>
      <c r="J851" s="24"/>
      <c r="K851" s="24"/>
    </row>
    <row r="852" ht="15.75" customHeight="1">
      <c r="H852" s="24"/>
      <c r="I852" s="24"/>
      <c r="J852" s="24"/>
      <c r="K852" s="24"/>
    </row>
    <row r="853" ht="15.75" customHeight="1">
      <c r="H853" s="24"/>
      <c r="I853" s="24"/>
      <c r="J853" s="24"/>
      <c r="K853" s="24"/>
    </row>
    <row r="854" ht="15.75" customHeight="1">
      <c r="H854" s="24"/>
      <c r="I854" s="24"/>
      <c r="J854" s="24"/>
      <c r="K854" s="24"/>
    </row>
    <row r="855" ht="15.75" customHeight="1">
      <c r="H855" s="24"/>
      <c r="I855" s="24"/>
      <c r="J855" s="24"/>
      <c r="K855" s="24"/>
    </row>
    <row r="856" ht="15.75" customHeight="1">
      <c r="H856" s="24"/>
      <c r="I856" s="24"/>
      <c r="J856" s="24"/>
      <c r="K856" s="24"/>
    </row>
    <row r="857" ht="15.75" customHeight="1">
      <c r="H857" s="24"/>
      <c r="I857" s="24"/>
      <c r="J857" s="24"/>
      <c r="K857" s="24"/>
    </row>
    <row r="858" ht="15.75" customHeight="1">
      <c r="H858" s="24"/>
      <c r="I858" s="24"/>
      <c r="J858" s="24"/>
      <c r="K858" s="24"/>
    </row>
    <row r="859" ht="15.75" customHeight="1">
      <c r="H859" s="24"/>
      <c r="I859" s="24"/>
      <c r="J859" s="24"/>
      <c r="K859" s="24"/>
    </row>
    <row r="860" ht="15.75" customHeight="1">
      <c r="H860" s="24"/>
      <c r="I860" s="24"/>
      <c r="J860" s="24"/>
      <c r="K860" s="24"/>
    </row>
    <row r="861" ht="15.75" customHeight="1">
      <c r="H861" s="24"/>
      <c r="I861" s="24"/>
      <c r="J861" s="24"/>
      <c r="K861" s="24"/>
    </row>
    <row r="862" ht="15.75" customHeight="1">
      <c r="H862" s="24"/>
      <c r="I862" s="24"/>
      <c r="J862" s="24"/>
      <c r="K862" s="24"/>
    </row>
    <row r="863" ht="15.75" customHeight="1">
      <c r="H863" s="24"/>
      <c r="I863" s="24"/>
      <c r="J863" s="24"/>
      <c r="K863" s="24"/>
    </row>
    <row r="864" ht="15.75" customHeight="1">
      <c r="H864" s="24"/>
      <c r="I864" s="24"/>
      <c r="J864" s="24"/>
      <c r="K864" s="24"/>
    </row>
    <row r="865" ht="15.75" customHeight="1">
      <c r="H865" s="24"/>
      <c r="I865" s="24"/>
      <c r="J865" s="24"/>
      <c r="K865" s="24"/>
    </row>
    <row r="866" ht="15.75" customHeight="1">
      <c r="H866" s="24"/>
      <c r="I866" s="24"/>
      <c r="J866" s="24"/>
      <c r="K866" s="24"/>
    </row>
    <row r="867" ht="15.75" customHeight="1">
      <c r="H867" s="24"/>
      <c r="I867" s="24"/>
      <c r="J867" s="24"/>
      <c r="K867" s="24"/>
    </row>
    <row r="868" ht="15.75" customHeight="1">
      <c r="H868" s="24"/>
      <c r="I868" s="24"/>
      <c r="J868" s="24"/>
      <c r="K868" s="24"/>
    </row>
    <row r="869" ht="15.75" customHeight="1">
      <c r="H869" s="24"/>
      <c r="I869" s="24"/>
      <c r="J869" s="24"/>
      <c r="K869" s="24"/>
    </row>
    <row r="870" ht="15.75" customHeight="1">
      <c r="H870" s="24"/>
      <c r="I870" s="24"/>
      <c r="J870" s="24"/>
      <c r="K870" s="24"/>
    </row>
    <row r="871" ht="15.75" customHeight="1">
      <c r="H871" s="24"/>
      <c r="I871" s="24"/>
      <c r="J871" s="24"/>
      <c r="K871" s="24"/>
    </row>
    <row r="872" ht="15.75" customHeight="1">
      <c r="H872" s="24"/>
      <c r="I872" s="24"/>
      <c r="J872" s="24"/>
      <c r="K872" s="24"/>
    </row>
    <row r="873" ht="15.75" customHeight="1">
      <c r="H873" s="24"/>
      <c r="I873" s="24"/>
      <c r="J873" s="24"/>
      <c r="K873" s="24"/>
    </row>
    <row r="874" ht="15.75" customHeight="1">
      <c r="H874" s="24"/>
      <c r="I874" s="24"/>
      <c r="J874" s="24"/>
      <c r="K874" s="24"/>
    </row>
    <row r="875" ht="15.75" customHeight="1">
      <c r="H875" s="24"/>
      <c r="I875" s="24"/>
      <c r="J875" s="24"/>
      <c r="K875" s="24"/>
    </row>
    <row r="876" ht="15.75" customHeight="1">
      <c r="H876" s="24"/>
      <c r="I876" s="24"/>
      <c r="J876" s="24"/>
      <c r="K876" s="24"/>
    </row>
    <row r="877" ht="15.75" customHeight="1">
      <c r="H877" s="24"/>
      <c r="I877" s="24"/>
      <c r="J877" s="24"/>
      <c r="K877" s="24"/>
    </row>
    <row r="878" ht="15.75" customHeight="1">
      <c r="H878" s="24"/>
      <c r="I878" s="24"/>
      <c r="J878" s="24"/>
      <c r="K878" s="24"/>
    </row>
    <row r="879" ht="15.75" customHeight="1">
      <c r="H879" s="24"/>
      <c r="I879" s="24"/>
      <c r="J879" s="24"/>
      <c r="K879" s="24"/>
    </row>
    <row r="880" ht="15.75" customHeight="1">
      <c r="H880" s="24"/>
      <c r="I880" s="24"/>
      <c r="J880" s="24"/>
      <c r="K880" s="24"/>
    </row>
    <row r="881" ht="15.75" customHeight="1">
      <c r="H881" s="24"/>
      <c r="I881" s="24"/>
      <c r="J881" s="24"/>
      <c r="K881" s="24"/>
    </row>
    <row r="882" ht="15.75" customHeight="1">
      <c r="H882" s="24"/>
      <c r="I882" s="24"/>
      <c r="J882" s="24"/>
      <c r="K882" s="24"/>
    </row>
    <row r="883" ht="15.75" customHeight="1">
      <c r="H883" s="24"/>
      <c r="I883" s="24"/>
      <c r="J883" s="24"/>
      <c r="K883" s="24"/>
    </row>
    <row r="884" ht="15.75" customHeight="1">
      <c r="H884" s="24"/>
      <c r="I884" s="24"/>
      <c r="J884" s="24"/>
      <c r="K884" s="24"/>
    </row>
    <row r="885" ht="15.75" customHeight="1">
      <c r="H885" s="24"/>
      <c r="I885" s="24"/>
      <c r="J885" s="24"/>
      <c r="K885" s="24"/>
    </row>
    <row r="886" ht="15.75" customHeight="1">
      <c r="H886" s="24"/>
      <c r="I886" s="24"/>
      <c r="J886" s="24"/>
      <c r="K886" s="24"/>
    </row>
    <row r="887" ht="15.75" customHeight="1">
      <c r="H887" s="24"/>
      <c r="I887" s="24"/>
      <c r="J887" s="24"/>
      <c r="K887" s="24"/>
    </row>
    <row r="888" ht="15.75" customHeight="1">
      <c r="H888" s="24"/>
      <c r="I888" s="24"/>
      <c r="J888" s="24"/>
      <c r="K888" s="24"/>
    </row>
    <row r="889" ht="15.75" customHeight="1">
      <c r="H889" s="24"/>
      <c r="I889" s="24"/>
      <c r="J889" s="24"/>
      <c r="K889" s="24"/>
    </row>
    <row r="890" ht="15.75" customHeight="1">
      <c r="H890" s="24"/>
      <c r="I890" s="24"/>
      <c r="J890" s="24"/>
      <c r="K890" s="24"/>
    </row>
    <row r="891" ht="15.75" customHeight="1">
      <c r="H891" s="24"/>
      <c r="I891" s="24"/>
      <c r="J891" s="24"/>
      <c r="K891" s="24"/>
    </row>
    <row r="892" ht="15.75" customHeight="1">
      <c r="H892" s="24"/>
      <c r="I892" s="24"/>
      <c r="J892" s="24"/>
      <c r="K892" s="24"/>
    </row>
    <row r="893" ht="15.75" customHeight="1">
      <c r="H893" s="24"/>
      <c r="I893" s="24"/>
      <c r="J893" s="24"/>
      <c r="K893" s="24"/>
    </row>
    <row r="894" ht="15.75" customHeight="1">
      <c r="H894" s="24"/>
      <c r="I894" s="24"/>
      <c r="J894" s="24"/>
      <c r="K894" s="24"/>
    </row>
    <row r="895" ht="15.75" customHeight="1">
      <c r="H895" s="24"/>
      <c r="I895" s="24"/>
      <c r="J895" s="24"/>
      <c r="K895" s="24"/>
    </row>
    <row r="896" ht="15.75" customHeight="1">
      <c r="H896" s="24"/>
      <c r="I896" s="24"/>
      <c r="J896" s="24"/>
      <c r="K896" s="24"/>
    </row>
    <row r="897" ht="15.75" customHeight="1">
      <c r="H897" s="24"/>
      <c r="I897" s="24"/>
      <c r="J897" s="24"/>
      <c r="K897" s="24"/>
    </row>
    <row r="898" ht="15.75" customHeight="1">
      <c r="H898" s="24"/>
      <c r="I898" s="24"/>
      <c r="J898" s="24"/>
      <c r="K898" s="24"/>
    </row>
    <row r="899" ht="15.75" customHeight="1">
      <c r="H899" s="24"/>
      <c r="I899" s="24"/>
      <c r="J899" s="24"/>
      <c r="K899" s="24"/>
    </row>
    <row r="900" ht="15.75" customHeight="1">
      <c r="H900" s="24"/>
      <c r="I900" s="24"/>
      <c r="J900" s="24"/>
      <c r="K900" s="24"/>
    </row>
    <row r="901" ht="15.75" customHeight="1">
      <c r="H901" s="24"/>
      <c r="I901" s="24"/>
      <c r="J901" s="24"/>
      <c r="K901" s="24"/>
    </row>
    <row r="902" ht="15.75" customHeight="1">
      <c r="H902" s="24"/>
      <c r="I902" s="24"/>
      <c r="J902" s="24"/>
      <c r="K902" s="24"/>
    </row>
    <row r="903" ht="15.75" customHeight="1">
      <c r="H903" s="24"/>
      <c r="I903" s="24"/>
      <c r="J903" s="24"/>
      <c r="K903" s="24"/>
    </row>
    <row r="904" ht="15.75" customHeight="1">
      <c r="H904" s="24"/>
      <c r="I904" s="24"/>
      <c r="J904" s="24"/>
      <c r="K904" s="24"/>
    </row>
    <row r="905" ht="15.75" customHeight="1">
      <c r="H905" s="24"/>
      <c r="I905" s="24"/>
      <c r="J905" s="24"/>
      <c r="K905" s="24"/>
    </row>
    <row r="906" ht="15.75" customHeight="1">
      <c r="H906" s="24"/>
      <c r="I906" s="24"/>
      <c r="J906" s="24"/>
      <c r="K906" s="24"/>
    </row>
    <row r="907" ht="15.75" customHeight="1">
      <c r="H907" s="24"/>
      <c r="I907" s="24"/>
      <c r="J907" s="24"/>
      <c r="K907" s="24"/>
    </row>
    <row r="908" ht="15.75" customHeight="1">
      <c r="H908" s="24"/>
      <c r="I908" s="24"/>
      <c r="J908" s="24"/>
      <c r="K908" s="24"/>
    </row>
    <row r="909" ht="15.75" customHeight="1">
      <c r="H909" s="24"/>
      <c r="I909" s="24"/>
      <c r="J909" s="24"/>
      <c r="K909" s="24"/>
    </row>
    <row r="910" ht="15.75" customHeight="1">
      <c r="H910" s="24"/>
      <c r="I910" s="24"/>
      <c r="J910" s="24"/>
      <c r="K910" s="24"/>
    </row>
    <row r="911" ht="15.75" customHeight="1">
      <c r="H911" s="24"/>
      <c r="I911" s="24"/>
      <c r="J911" s="24"/>
      <c r="K911" s="24"/>
    </row>
    <row r="912" ht="15.75" customHeight="1">
      <c r="H912" s="24"/>
      <c r="I912" s="24"/>
      <c r="J912" s="24"/>
      <c r="K912" s="24"/>
    </row>
    <row r="913" ht="15.75" customHeight="1">
      <c r="H913" s="24"/>
      <c r="I913" s="24"/>
      <c r="J913" s="24"/>
      <c r="K913" s="24"/>
    </row>
    <row r="914" ht="15.75" customHeight="1">
      <c r="H914" s="24"/>
      <c r="I914" s="24"/>
      <c r="J914" s="24"/>
      <c r="K914" s="24"/>
    </row>
    <row r="915" ht="15.75" customHeight="1">
      <c r="H915" s="24"/>
      <c r="I915" s="24"/>
      <c r="J915" s="24"/>
      <c r="K915" s="24"/>
    </row>
    <row r="916" ht="15.75" customHeight="1">
      <c r="H916" s="24"/>
      <c r="I916" s="24"/>
      <c r="J916" s="24"/>
      <c r="K916" s="24"/>
    </row>
    <row r="917" ht="15.75" customHeight="1">
      <c r="H917" s="24"/>
      <c r="I917" s="24"/>
      <c r="J917" s="24"/>
      <c r="K917" s="24"/>
    </row>
    <row r="918" ht="15.75" customHeight="1">
      <c r="H918" s="24"/>
      <c r="I918" s="24"/>
      <c r="J918" s="24"/>
      <c r="K918" s="24"/>
    </row>
    <row r="919" ht="15.75" customHeight="1">
      <c r="H919" s="24"/>
      <c r="I919" s="24"/>
      <c r="J919" s="24"/>
      <c r="K919" s="24"/>
    </row>
    <row r="920" ht="15.75" customHeight="1">
      <c r="H920" s="24"/>
      <c r="I920" s="24"/>
      <c r="J920" s="24"/>
      <c r="K920" s="24"/>
    </row>
    <row r="921" ht="15.75" customHeight="1">
      <c r="H921" s="24"/>
      <c r="I921" s="24"/>
      <c r="J921" s="24"/>
      <c r="K921" s="24"/>
    </row>
    <row r="922" ht="15.75" customHeight="1">
      <c r="H922" s="24"/>
      <c r="I922" s="24"/>
      <c r="J922" s="24"/>
      <c r="K922" s="24"/>
    </row>
    <row r="923" ht="15.75" customHeight="1">
      <c r="H923" s="24"/>
      <c r="I923" s="24"/>
      <c r="J923" s="24"/>
      <c r="K923" s="24"/>
    </row>
    <row r="924" ht="15.75" customHeight="1">
      <c r="H924" s="24"/>
      <c r="I924" s="24"/>
      <c r="J924" s="24"/>
      <c r="K924" s="24"/>
    </row>
    <row r="925" ht="15.75" customHeight="1">
      <c r="H925" s="24"/>
      <c r="I925" s="24"/>
      <c r="J925" s="24"/>
      <c r="K925" s="24"/>
    </row>
    <row r="926" ht="15.75" customHeight="1">
      <c r="H926" s="24"/>
      <c r="I926" s="24"/>
      <c r="J926" s="24"/>
      <c r="K926" s="24"/>
    </row>
    <row r="927" ht="15.75" customHeight="1">
      <c r="H927" s="24"/>
      <c r="I927" s="24"/>
      <c r="J927" s="24"/>
      <c r="K927" s="24"/>
    </row>
    <row r="928" ht="15.75" customHeight="1">
      <c r="H928" s="24"/>
      <c r="I928" s="24"/>
      <c r="J928" s="24"/>
      <c r="K928" s="24"/>
    </row>
    <row r="929" ht="15.75" customHeight="1">
      <c r="H929" s="24"/>
      <c r="I929" s="24"/>
      <c r="J929" s="24"/>
      <c r="K929" s="24"/>
    </row>
    <row r="930" ht="15.75" customHeight="1">
      <c r="H930" s="24"/>
      <c r="I930" s="24"/>
      <c r="J930" s="24"/>
      <c r="K930" s="24"/>
    </row>
    <row r="931" ht="15.75" customHeight="1">
      <c r="H931" s="24"/>
      <c r="I931" s="24"/>
      <c r="J931" s="24"/>
      <c r="K931" s="24"/>
    </row>
    <row r="932" ht="15.75" customHeight="1">
      <c r="H932" s="24"/>
      <c r="I932" s="24"/>
      <c r="J932" s="24"/>
      <c r="K932" s="24"/>
    </row>
    <row r="933" ht="15.75" customHeight="1">
      <c r="H933" s="24"/>
      <c r="I933" s="24"/>
      <c r="J933" s="24"/>
      <c r="K933" s="24"/>
    </row>
    <row r="934" ht="15.75" customHeight="1">
      <c r="H934" s="24"/>
      <c r="I934" s="24"/>
      <c r="J934" s="24"/>
      <c r="K934" s="24"/>
    </row>
    <row r="935" ht="15.75" customHeight="1">
      <c r="H935" s="24"/>
      <c r="I935" s="24"/>
      <c r="J935" s="24"/>
      <c r="K935" s="24"/>
    </row>
    <row r="936" ht="15.75" customHeight="1">
      <c r="H936" s="24"/>
      <c r="I936" s="24"/>
      <c r="J936" s="24"/>
      <c r="K936" s="24"/>
    </row>
    <row r="937" ht="15.75" customHeight="1">
      <c r="H937" s="24"/>
      <c r="I937" s="24"/>
      <c r="J937" s="24"/>
      <c r="K937" s="24"/>
    </row>
    <row r="938" ht="15.75" customHeight="1">
      <c r="H938" s="24"/>
      <c r="I938" s="24"/>
      <c r="J938" s="24"/>
      <c r="K938" s="24"/>
    </row>
    <row r="939" ht="15.75" customHeight="1">
      <c r="H939" s="24"/>
      <c r="I939" s="24"/>
      <c r="J939" s="24"/>
      <c r="K939" s="24"/>
    </row>
    <row r="940" ht="15.75" customHeight="1">
      <c r="H940" s="24"/>
      <c r="I940" s="24"/>
      <c r="J940" s="24"/>
      <c r="K940" s="24"/>
    </row>
    <row r="941" ht="15.75" customHeight="1">
      <c r="H941" s="24"/>
      <c r="I941" s="24"/>
      <c r="J941" s="24"/>
      <c r="K941" s="24"/>
    </row>
    <row r="942" ht="15.75" customHeight="1">
      <c r="H942" s="24"/>
      <c r="I942" s="24"/>
      <c r="J942" s="24"/>
      <c r="K942" s="24"/>
    </row>
    <row r="943" ht="15.75" customHeight="1">
      <c r="H943" s="24"/>
      <c r="I943" s="24"/>
      <c r="J943" s="24"/>
      <c r="K943" s="24"/>
    </row>
    <row r="944" ht="15.75" customHeight="1">
      <c r="H944" s="24"/>
      <c r="I944" s="24"/>
      <c r="J944" s="24"/>
      <c r="K944" s="24"/>
    </row>
    <row r="945" ht="15.75" customHeight="1">
      <c r="H945" s="24"/>
      <c r="I945" s="24"/>
      <c r="J945" s="24"/>
      <c r="K945" s="24"/>
    </row>
    <row r="946" ht="15.75" customHeight="1">
      <c r="H946" s="24"/>
      <c r="I946" s="24"/>
      <c r="J946" s="24"/>
      <c r="K946" s="24"/>
    </row>
    <row r="947" ht="15.75" customHeight="1">
      <c r="H947" s="24"/>
      <c r="I947" s="24"/>
      <c r="J947" s="24"/>
      <c r="K947" s="24"/>
    </row>
    <row r="948" ht="15.75" customHeight="1">
      <c r="H948" s="24"/>
      <c r="I948" s="24"/>
      <c r="J948" s="24"/>
      <c r="K948" s="24"/>
    </row>
    <row r="949" ht="15.75" customHeight="1">
      <c r="H949" s="24"/>
      <c r="I949" s="24"/>
      <c r="J949" s="24"/>
      <c r="K949" s="24"/>
    </row>
    <row r="950" ht="15.75" customHeight="1">
      <c r="H950" s="24"/>
      <c r="I950" s="24"/>
      <c r="J950" s="24"/>
      <c r="K950" s="24"/>
    </row>
    <row r="951" ht="15.75" customHeight="1">
      <c r="H951" s="24"/>
      <c r="I951" s="24"/>
      <c r="J951" s="24"/>
      <c r="K951" s="24"/>
    </row>
    <row r="952" ht="15.75" customHeight="1">
      <c r="H952" s="24"/>
      <c r="I952" s="24"/>
      <c r="J952" s="24"/>
      <c r="K952" s="24"/>
    </row>
    <row r="953" ht="15.75" customHeight="1">
      <c r="H953" s="24"/>
      <c r="I953" s="24"/>
      <c r="J953" s="24"/>
      <c r="K953" s="24"/>
    </row>
    <row r="954" ht="15.75" customHeight="1">
      <c r="H954" s="24"/>
      <c r="I954" s="24"/>
      <c r="J954" s="24"/>
      <c r="K954" s="24"/>
    </row>
    <row r="955" ht="15.75" customHeight="1">
      <c r="H955" s="24"/>
      <c r="I955" s="24"/>
      <c r="J955" s="24"/>
      <c r="K955" s="24"/>
    </row>
    <row r="956" ht="15.75" customHeight="1">
      <c r="H956" s="24"/>
      <c r="I956" s="24"/>
      <c r="J956" s="24"/>
      <c r="K956" s="24"/>
    </row>
    <row r="957" ht="15.75" customHeight="1">
      <c r="H957" s="24"/>
      <c r="I957" s="24"/>
      <c r="J957" s="24"/>
      <c r="K957" s="24"/>
    </row>
    <row r="958" ht="15.75" customHeight="1">
      <c r="H958" s="24"/>
      <c r="I958" s="24"/>
      <c r="J958" s="24"/>
      <c r="K958" s="24"/>
    </row>
    <row r="959" ht="15.75" customHeight="1">
      <c r="H959" s="24"/>
      <c r="I959" s="24"/>
      <c r="J959" s="24"/>
      <c r="K959" s="24"/>
    </row>
    <row r="960" ht="15.75" customHeight="1">
      <c r="H960" s="24"/>
      <c r="I960" s="24"/>
      <c r="J960" s="24"/>
      <c r="K960" s="24"/>
    </row>
    <row r="961" ht="15.75" customHeight="1">
      <c r="H961" s="24"/>
      <c r="I961" s="24"/>
      <c r="J961" s="24"/>
      <c r="K961" s="24"/>
    </row>
    <row r="962" ht="15.75" customHeight="1">
      <c r="H962" s="24"/>
      <c r="I962" s="24"/>
      <c r="J962" s="24"/>
      <c r="K962" s="24"/>
    </row>
    <row r="963" ht="15.75" customHeight="1">
      <c r="H963" s="24"/>
      <c r="I963" s="24"/>
      <c r="J963" s="24"/>
      <c r="K963" s="24"/>
    </row>
    <row r="964" ht="15.75" customHeight="1">
      <c r="H964" s="24"/>
      <c r="I964" s="24"/>
      <c r="J964" s="24"/>
      <c r="K964" s="24"/>
    </row>
    <row r="965" ht="15.75" customHeight="1">
      <c r="H965" s="24"/>
      <c r="I965" s="24"/>
      <c r="J965" s="24"/>
      <c r="K965" s="24"/>
    </row>
    <row r="966" ht="15.75" customHeight="1">
      <c r="H966" s="24"/>
      <c r="I966" s="24"/>
      <c r="J966" s="24"/>
      <c r="K966" s="24"/>
    </row>
    <row r="967" ht="15.75" customHeight="1">
      <c r="H967" s="24"/>
      <c r="I967" s="24"/>
      <c r="J967" s="24"/>
      <c r="K967" s="24"/>
    </row>
    <row r="968" ht="15.75" customHeight="1">
      <c r="H968" s="24"/>
      <c r="I968" s="24"/>
      <c r="J968" s="24"/>
      <c r="K968" s="24"/>
    </row>
    <row r="969" ht="15.75" customHeight="1">
      <c r="H969" s="24"/>
      <c r="I969" s="24"/>
      <c r="J969" s="24"/>
      <c r="K969" s="24"/>
    </row>
    <row r="970" ht="15.75" customHeight="1">
      <c r="H970" s="24"/>
      <c r="I970" s="24"/>
      <c r="J970" s="24"/>
      <c r="K970" s="24"/>
    </row>
    <row r="971" ht="15.75" customHeight="1">
      <c r="H971" s="24"/>
      <c r="I971" s="24"/>
      <c r="J971" s="24"/>
      <c r="K971" s="24"/>
    </row>
    <row r="972" ht="15.75" customHeight="1">
      <c r="H972" s="24"/>
      <c r="I972" s="24"/>
      <c r="J972" s="24"/>
      <c r="K972" s="24"/>
    </row>
    <row r="973" ht="15.75" customHeight="1">
      <c r="H973" s="24"/>
      <c r="I973" s="24"/>
      <c r="J973" s="24"/>
      <c r="K973" s="24"/>
    </row>
    <row r="974" ht="15.75" customHeight="1">
      <c r="H974" s="24"/>
      <c r="I974" s="24"/>
      <c r="J974" s="24"/>
      <c r="K974" s="24"/>
    </row>
    <row r="975" ht="15.75" customHeight="1">
      <c r="H975" s="24"/>
      <c r="I975" s="24"/>
      <c r="J975" s="24"/>
      <c r="K975" s="24"/>
    </row>
    <row r="976" ht="15.75" customHeight="1">
      <c r="H976" s="24"/>
      <c r="I976" s="24"/>
      <c r="J976" s="24"/>
      <c r="K976" s="24"/>
    </row>
    <row r="977" ht="15.75" customHeight="1">
      <c r="H977" s="24"/>
      <c r="I977" s="24"/>
      <c r="J977" s="24"/>
      <c r="K977" s="24"/>
    </row>
    <row r="978" ht="15.75" customHeight="1">
      <c r="H978" s="24"/>
      <c r="I978" s="24"/>
      <c r="J978" s="24"/>
      <c r="K978" s="24"/>
    </row>
    <row r="979" ht="15.75" customHeight="1">
      <c r="H979" s="24"/>
      <c r="I979" s="24"/>
      <c r="J979" s="24"/>
      <c r="K979" s="24"/>
    </row>
    <row r="980" ht="15.75" customHeight="1">
      <c r="H980" s="24"/>
      <c r="I980" s="24"/>
      <c r="J980" s="24"/>
      <c r="K980" s="24"/>
    </row>
    <row r="981" ht="15.75" customHeight="1">
      <c r="H981" s="24"/>
      <c r="I981" s="24"/>
      <c r="J981" s="24"/>
      <c r="K981" s="24"/>
    </row>
    <row r="982" ht="15.75" customHeight="1">
      <c r="H982" s="24"/>
      <c r="I982" s="24"/>
      <c r="J982" s="24"/>
      <c r="K982" s="24"/>
    </row>
    <row r="983" ht="15.75" customHeight="1">
      <c r="H983" s="24"/>
      <c r="I983" s="24"/>
      <c r="J983" s="24"/>
      <c r="K983" s="24"/>
    </row>
    <row r="984" ht="15.75" customHeight="1">
      <c r="H984" s="24"/>
      <c r="I984" s="24"/>
      <c r="J984" s="24"/>
      <c r="K984" s="24"/>
    </row>
    <row r="985" ht="15.75" customHeight="1">
      <c r="H985" s="24"/>
      <c r="I985" s="24"/>
      <c r="J985" s="24"/>
      <c r="K985" s="24"/>
    </row>
    <row r="986" ht="15.75" customHeight="1">
      <c r="H986" s="24"/>
      <c r="I986" s="24"/>
      <c r="J986" s="24"/>
      <c r="K986" s="24"/>
    </row>
    <row r="987" ht="15.75" customHeight="1">
      <c r="H987" s="24"/>
      <c r="I987" s="24"/>
      <c r="J987" s="24"/>
      <c r="K987" s="24"/>
    </row>
    <row r="988" ht="15.75" customHeight="1">
      <c r="H988" s="24"/>
      <c r="I988" s="24"/>
      <c r="J988" s="24"/>
      <c r="K988" s="24"/>
    </row>
    <row r="989" ht="15.75" customHeight="1">
      <c r="H989" s="24"/>
      <c r="I989" s="24"/>
      <c r="J989" s="24"/>
      <c r="K989" s="24"/>
    </row>
    <row r="990" ht="15.75" customHeight="1">
      <c r="H990" s="24"/>
      <c r="I990" s="24"/>
      <c r="J990" s="24"/>
      <c r="K990" s="24"/>
    </row>
    <row r="991" ht="15.75" customHeight="1">
      <c r="H991" s="24"/>
      <c r="I991" s="24"/>
      <c r="J991" s="24"/>
      <c r="K991" s="24"/>
    </row>
    <row r="992" ht="15.75" customHeight="1">
      <c r="H992" s="24"/>
      <c r="I992" s="24"/>
      <c r="J992" s="24"/>
      <c r="K992" s="24"/>
    </row>
    <row r="993" ht="15.75" customHeight="1">
      <c r="H993" s="24"/>
      <c r="I993" s="24"/>
      <c r="J993" s="24"/>
      <c r="K993" s="24"/>
    </row>
    <row r="994" ht="15.75" customHeight="1">
      <c r="H994" s="24"/>
      <c r="I994" s="24"/>
      <c r="J994" s="24"/>
      <c r="K994" s="24"/>
    </row>
    <row r="995" ht="15.75" customHeight="1">
      <c r="H995" s="24"/>
      <c r="I995" s="24"/>
      <c r="J995" s="24"/>
      <c r="K995" s="24"/>
    </row>
    <row r="996" ht="15.75" customHeight="1">
      <c r="H996" s="24"/>
      <c r="I996" s="24"/>
      <c r="J996" s="24"/>
      <c r="K996" s="24"/>
    </row>
    <row r="997" ht="15.75" customHeight="1">
      <c r="H997" s="24"/>
      <c r="I997" s="24"/>
      <c r="J997" s="24"/>
      <c r="K997" s="24"/>
    </row>
    <row r="998" ht="15.75" customHeight="1">
      <c r="H998" s="24"/>
      <c r="I998" s="24"/>
      <c r="J998" s="24"/>
      <c r="K998" s="24"/>
    </row>
    <row r="999" ht="15.75" customHeight="1">
      <c r="H999" s="24"/>
      <c r="I999" s="24"/>
      <c r="J999" s="24"/>
      <c r="K999" s="24"/>
    </row>
    <row r="1000" ht="15.75" customHeight="1">
      <c r="H1000" s="24"/>
      <c r="I1000" s="24"/>
      <c r="J1000" s="24"/>
      <c r="K1000" s="24"/>
    </row>
  </sheetData>
  <mergeCells count="8">
    <mergeCell ref="B203:C203"/>
    <mergeCell ref="D203:E203"/>
    <mergeCell ref="B204:C204"/>
    <mergeCell ref="D204:E204"/>
    <mergeCell ref="B205:C205"/>
    <mergeCell ref="D205:E205"/>
    <mergeCell ref="B206:C206"/>
    <mergeCell ref="D206:E206"/>
  </mergeCells>
  <dataValidations>
    <dataValidation type="list" allowBlank="1" showDropDown="1" showErrorMessage="1" sqref="F2:F201">
      <formula1>"Male,Female"</formula1>
    </dataValidation>
    <dataValidation type="custom" allowBlank="1" showDropDown="1" sqref="A2:D201 G2:H201">
      <formula1>AND(ISNUMBER(A2),(NOT(OR(NOT(ISERROR(DATEVALUE(A2))), AND(ISNUMBER(A2), LEFT(CELL("format", A2))="D")))))</formula1>
    </dataValidation>
    <dataValidation type="list" allowBlank="1" showDropDown="1" showErrorMessage="1" sqref="E2:E201">
      <formula1>"New Jeffrey,Robertfurt,Lake Elaine,Dixonfurt,East Melaniefort,Jamesstad,Brendaburgh,Michaelstad,Masonbury,New Pamelashire,Port Melinda,East Alfred,Martinland,North Dominicview,New Rick,Murphyfurt,Ferrellhaven,West Ashley,East Jesseland,South Bradview,New "&amp;"Gregorychester,North Andrewland,Latashamouth,North Sarahtown,South Monica,Jessicamouth,North Lisa,New Michaelfurt,Chambersfort,West Jesseland,South Michael,Beckmouth,Johnsview,New Paulside,Maloneport,Tylerberg,Rojasfurt,Harrisshire,Ericside,North Anneshir"&amp;"e,South Christinaville,Lake Joan,East Douglasshire,East Jessica,East Joshuamouth,Davidfurt,South Jamie,Lake Brian,North Jennifer,Melanieland,West Carla,Leachborough,Port Michael,Lake Christinamouth,Hartmanshire,Kristimouth,Rodriguezland,Youngborough,East "&amp;"Andrewside,South Nicoleton,Tinaview,Salazarberg,West Davidfurt,Lake Rebecca,Danielburgh,Yvettestad,New Allison,Lake Hunterside,Lake Emmaton,New Marvin,Lake Michaelburgh,Marcusburgh,North Cynthiastad,Heathermouth,Port Aaronmouth,South Laura,Collinsborough,"&amp;"Morrowland,Thomaschester,Gloriaport,Johnsonmouth,Jaimemouth,Michaelburgh,North Colleen,South Danielshire,New Scott,South Stephanieside,Paigebury,New Brandy,West Elizabeth,New James,Brianhaven,West Peggyborough,Greenshire,Jenkinshaven,West Philiphaven,Port"&amp;" William,Cannontown,Kathyberg,West Andrewfort,East Lisa,Port Stephanieland,Lake John,Ballardfurt,Jasonville,Port Heatherchester,South Johnathan,New Veronicamouth,Moorefurt,Port Brenda,North Bobby,Lake Cory,Petersonport,Hawkinsbury,Pinedaland,Nathanstad,So"&amp;"uth Margaretfort,Kimberlytown,Ericborough,Port Josechester,Rodriguezshire,Elizabethland,South Courtney,New Jennifer,Michaelland,West Anthonyton,Cheyennechester,Lake Matthewstad,West Ryan,East Jacquelinetown,Richardsonstad,South Michaelmouth,Yatesmouth,Jua"&amp;"nberg,Bakerberg,South Jasonbury,Michealmouth,Port David,North Tracey,South Margarettown,New Joshuaville,East Davidton,New Brandon,Port Amy,Robertborough,Taylorland,Sawyertown,New Timothyberg,West Mallory,North Timothy,Lake Jerrytown,East Dustin,Lake Paul,"&amp;"Smithmouth,Craigfurt,North Antonio,North Hannah,Lynnbury,Paigeberg,South Kelly,West Joseph,Barbarachester,Tylerburgh,North Danielview,Wrightton,Lake Ashlee,Valdezside,South Tomland,Lake Marissaberg,Monicaview,Walshmouth,Port Catherinemouth,Buckborough,Eas"&amp;"t Andrea,Jonesbury,South Dan,West James,East Connieport,Joseton,Jacksonview,Rebeccachester,South Tony,East Andrewchester,Taylorburgh,South Elizabeth,Port Jennastad,East Patriciachester,Kennethshire,South Anthony,West Brian,Ravenmouth,Sandrachester,New Sta"&amp;"cey,Randyshire,East Christopherberg,North Maureenton"</formula1>
    </dataValidation>
  </dataValidations>
  <printOptions/>
  <pageMargins bottom="0.75" footer="0.0" header="0.0" left="0.7" right="0.7" top="0.75"/>
  <pageSetup orientation="landscape"/>
  <drawing r:id="rId2"/>
  <tableParts count="1">
    <tablePart r:id="rId4"/>
  </tableParts>
</worksheet>
</file>